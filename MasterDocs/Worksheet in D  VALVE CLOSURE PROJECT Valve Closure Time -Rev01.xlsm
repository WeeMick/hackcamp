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 defaultThemeVersion="124226"/>
  <xr:revisionPtr revIDLastSave="0" documentId="8_{57BA4881-7E3A-4399-B401-D60AB8752D07}" xr6:coauthVersionLast="31" xr6:coauthVersionMax="31" xr10:uidLastSave="{00000000-0000-0000-0000-000000000000}"/>
  <bookViews>
    <workbookView xWindow="360" yWindow="732" windowWidth="23256" windowHeight="13176" activeTab="1" xr2:uid="{00000000-000D-0000-FFFF-FFFF00000000}"/>
  </bookViews>
  <sheets>
    <sheet name="data" sheetId="4" r:id="rId1"/>
    <sheet name="graphs" sheetId="2" r:id="rId2"/>
    <sheet name="Other HCR Parameters" sheetId="5" r:id="rId3"/>
  </sheets>
  <externalReferences>
    <externalReference r:id="rId4"/>
  </externalReferenc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5" i="4" l="1"/>
  <c r="D55" i="4" s="1"/>
  <c r="B54" i="4"/>
  <c r="D54" i="4" s="1"/>
  <c r="J54" i="4" s="1"/>
  <c r="J55" i="4" s="1"/>
  <c r="B53" i="4"/>
  <c r="D53" i="4" s="1"/>
  <c r="J53" i="4" s="1"/>
  <c r="B52" i="4"/>
  <c r="D52" i="4" s="1"/>
  <c r="J52" i="4" s="1"/>
  <c r="B51" i="4"/>
  <c r="D51" i="4" s="1"/>
  <c r="J51" i="4" s="1"/>
  <c r="B50" i="4"/>
  <c r="D50" i="4" s="1"/>
  <c r="J50" i="4" s="1"/>
  <c r="B49" i="4"/>
  <c r="D49" i="4" s="1"/>
  <c r="J49" i="4" s="1"/>
  <c r="B48" i="4"/>
  <c r="D48" i="4" s="1"/>
  <c r="J48" i="4" s="1"/>
  <c r="B47" i="4"/>
  <c r="D47" i="4" s="1"/>
  <c r="J47" i="4" s="1"/>
  <c r="B46" i="4"/>
  <c r="D46" i="4" s="1"/>
  <c r="J46" i="4" s="1"/>
  <c r="B45" i="4"/>
  <c r="D45" i="4" s="1"/>
  <c r="X39" i="4"/>
  <c r="F39" i="4"/>
  <c r="D39" i="4"/>
  <c r="X38" i="4"/>
  <c r="F38" i="4"/>
  <c r="D38" i="4"/>
  <c r="X37" i="4"/>
  <c r="F37" i="4"/>
  <c r="D37" i="4"/>
  <c r="X36" i="4"/>
  <c r="F36" i="4"/>
  <c r="D36" i="4"/>
  <c r="X35" i="4"/>
  <c r="F35" i="4"/>
  <c r="D35" i="4"/>
  <c r="X34" i="4"/>
  <c r="F34" i="4"/>
  <c r="D34" i="4"/>
  <c r="X33" i="4"/>
  <c r="F33" i="4"/>
  <c r="D33" i="4"/>
  <c r="X32" i="4"/>
  <c r="F32" i="4"/>
  <c r="D32" i="4"/>
  <c r="X31" i="4"/>
  <c r="I31" i="4"/>
  <c r="P47" i="4" s="1"/>
  <c r="H31" i="4"/>
  <c r="F31" i="4"/>
  <c r="D31" i="4"/>
  <c r="X30" i="4"/>
  <c r="I30" i="4"/>
  <c r="P46" i="4" s="1"/>
  <c r="H30" i="4"/>
  <c r="F30" i="4"/>
  <c r="D30" i="4"/>
  <c r="M30" i="4" s="1"/>
  <c r="C30" i="4"/>
  <c r="V30" i="4" s="1"/>
  <c r="X29" i="4"/>
  <c r="I29" i="4"/>
  <c r="P45" i="4" s="1"/>
  <c r="H29" i="4"/>
  <c r="F29" i="4"/>
  <c r="D29" i="4"/>
  <c r="C29" i="4"/>
  <c r="V29" i="4" s="1"/>
  <c r="B29" i="4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E19" i="4"/>
  <c r="F19" i="4" s="1"/>
  <c r="C19" i="4"/>
  <c r="E18" i="4"/>
  <c r="C18" i="4"/>
  <c r="E17" i="4"/>
  <c r="F17" i="4" s="1"/>
  <c r="C17" i="4"/>
  <c r="E16" i="4"/>
  <c r="C16" i="4"/>
  <c r="E15" i="4"/>
  <c r="F15" i="4" s="1"/>
  <c r="C15" i="4"/>
  <c r="E14" i="4"/>
  <c r="C14" i="4"/>
  <c r="E13" i="4"/>
  <c r="F13" i="4" s="1"/>
  <c r="C13" i="4"/>
  <c r="E12" i="4"/>
  <c r="C12" i="4"/>
  <c r="E11" i="4"/>
  <c r="C11" i="4"/>
  <c r="E10" i="4"/>
  <c r="C10" i="4"/>
  <c r="H9" i="4"/>
  <c r="D9" i="4"/>
  <c r="E9" i="4" s="1"/>
  <c r="F9" i="4" s="1"/>
  <c r="C9" i="4"/>
  <c r="B9" i="4"/>
  <c r="F11" i="4" l="1"/>
  <c r="F14" i="4"/>
  <c r="Q47" i="4"/>
  <c r="F16" i="4"/>
  <c r="E45" i="4"/>
  <c r="H45" i="4" s="1"/>
  <c r="I45" i="4" s="1"/>
  <c r="N30" i="4"/>
  <c r="F12" i="4"/>
  <c r="F10" i="4"/>
  <c r="M29" i="4"/>
  <c r="N29" i="4" s="1"/>
  <c r="G9" i="4"/>
  <c r="I9" i="4" s="1"/>
  <c r="J9" i="4" s="1"/>
  <c r="E29" i="4" s="1"/>
  <c r="B10" i="4"/>
  <c r="Q46" i="4"/>
  <c r="Q45" i="4"/>
  <c r="F18" i="4"/>
  <c r="F45" i="4"/>
  <c r="J45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C31" i="4"/>
  <c r="V31" i="4" s="1"/>
  <c r="I32" i="4"/>
  <c r="J29" i="4" l="1"/>
  <c r="M31" i="4"/>
  <c r="C32" i="4"/>
  <c r="V32" i="4" s="1"/>
  <c r="P48" i="4"/>
  <c r="H32" i="4"/>
  <c r="I33" i="4"/>
  <c r="N45" i="4"/>
  <c r="G10" i="4"/>
  <c r="B11" i="4"/>
  <c r="H10" i="4"/>
  <c r="I10" i="4" s="1"/>
  <c r="J10" i="4" s="1"/>
  <c r="E30" i="4" s="1"/>
  <c r="J30" i="4" l="1"/>
  <c r="I34" i="4"/>
  <c r="P49" i="4"/>
  <c r="H33" i="4"/>
  <c r="C33" i="4" s="1"/>
  <c r="V33" i="4" s="1"/>
  <c r="Q48" i="4"/>
  <c r="M32" i="4"/>
  <c r="K29" i="4"/>
  <c r="G11" i="4"/>
  <c r="B12" i="4"/>
  <c r="H11" i="4"/>
  <c r="I11" i="4" s="1"/>
  <c r="J11" i="4" s="1"/>
  <c r="E31" i="4" s="1"/>
  <c r="E46" i="4"/>
  <c r="H46" i="4" s="1"/>
  <c r="I46" i="4" s="1"/>
  <c r="N31" i="4"/>
  <c r="Q49" i="4" l="1"/>
  <c r="M33" i="4"/>
  <c r="J31" i="4"/>
  <c r="I47" i="4"/>
  <c r="N46" i="4"/>
  <c r="H34" i="4"/>
  <c r="I35" i="4"/>
  <c r="P50" i="4"/>
  <c r="G12" i="4"/>
  <c r="B13" i="4"/>
  <c r="H12" i="4"/>
  <c r="I12" i="4" s="1"/>
  <c r="J12" i="4" s="1"/>
  <c r="E32" i="4" s="1"/>
  <c r="Q29" i="4"/>
  <c r="R29" i="4" s="1"/>
  <c r="S29" i="4" s="1"/>
  <c r="L29" i="4"/>
  <c r="O29" i="4"/>
  <c r="P29" i="4" s="1"/>
  <c r="E47" i="4"/>
  <c r="H47" i="4" s="1"/>
  <c r="N32" i="4"/>
  <c r="K30" i="4"/>
  <c r="N47" i="4"/>
  <c r="P51" i="4" l="1"/>
  <c r="H35" i="4"/>
  <c r="I36" i="4"/>
  <c r="C35" i="4"/>
  <c r="V35" i="4" s="1"/>
  <c r="Q30" i="4"/>
  <c r="R30" i="4" s="1"/>
  <c r="S30" i="4" s="1"/>
  <c r="L31" i="4"/>
  <c r="O30" i="4"/>
  <c r="P30" i="4" s="1"/>
  <c r="J32" i="4"/>
  <c r="G13" i="4"/>
  <c r="B14" i="4"/>
  <c r="H13" i="4"/>
  <c r="I13" i="4" s="1"/>
  <c r="J13" i="4" s="1"/>
  <c r="E33" i="4" s="1"/>
  <c r="L30" i="4"/>
  <c r="K31" i="4"/>
  <c r="Q50" i="4"/>
  <c r="M34" i="4"/>
  <c r="T29" i="4"/>
  <c r="C34" i="4"/>
  <c r="V34" i="4" s="1"/>
  <c r="N33" i="4"/>
  <c r="E48" i="4"/>
  <c r="H48" i="4" s="1"/>
  <c r="I48" i="4" s="1"/>
  <c r="W29" i="4"/>
  <c r="W30" i="4" l="1"/>
  <c r="N48" i="4"/>
  <c r="U29" i="4"/>
  <c r="T30" i="4"/>
  <c r="G14" i="4"/>
  <c r="B15" i="4"/>
  <c r="H14" i="4"/>
  <c r="I14" i="4" s="1"/>
  <c r="J14" i="4" s="1"/>
  <c r="E34" i="4" s="1"/>
  <c r="N34" i="4"/>
  <c r="E49" i="4"/>
  <c r="H49" i="4" s="1"/>
  <c r="I49" i="4" s="1"/>
  <c r="Q31" i="4"/>
  <c r="R31" i="4" s="1"/>
  <c r="S31" i="4" s="1"/>
  <c r="O31" i="4"/>
  <c r="P31" i="4" s="1"/>
  <c r="P52" i="4"/>
  <c r="H36" i="4"/>
  <c r="I37" i="4"/>
  <c r="K32" i="4"/>
  <c r="Q51" i="4"/>
  <c r="M35" i="4"/>
  <c r="J33" i="4"/>
  <c r="G45" i="4"/>
  <c r="L45" i="4" s="1"/>
  <c r="N49" i="4" l="1"/>
  <c r="W31" i="4"/>
  <c r="Q52" i="4"/>
  <c r="M36" i="4"/>
  <c r="J34" i="4"/>
  <c r="G15" i="4"/>
  <c r="B16" i="4"/>
  <c r="H15" i="4"/>
  <c r="I15" i="4" s="1"/>
  <c r="J15" i="4" s="1"/>
  <c r="E35" i="4" s="1"/>
  <c r="E50" i="4"/>
  <c r="H50" i="4" s="1"/>
  <c r="I50" i="4" s="1"/>
  <c r="N35" i="4"/>
  <c r="Q32" i="4"/>
  <c r="R32" i="4" s="1"/>
  <c r="S32" i="4" s="1"/>
  <c r="O32" i="4"/>
  <c r="P32" i="4" s="1"/>
  <c r="C36" i="4"/>
  <c r="V36" i="4" s="1"/>
  <c r="I38" i="4"/>
  <c r="V37" i="4"/>
  <c r="C37" i="4"/>
  <c r="P53" i="4"/>
  <c r="H37" i="4"/>
  <c r="M45" i="4"/>
  <c r="M46" i="4" s="1"/>
  <c r="O45" i="4"/>
  <c r="G46" i="4"/>
  <c r="L46" i="4" s="1"/>
  <c r="O46" i="4" s="1"/>
  <c r="U30" i="4"/>
  <c r="T31" i="4"/>
  <c r="K33" i="4"/>
  <c r="L33" i="4" s="1"/>
  <c r="L32" i="4"/>
  <c r="W32" i="4" l="1"/>
  <c r="N50" i="4"/>
  <c r="T32" i="4"/>
  <c r="U31" i="4"/>
  <c r="L34" i="4"/>
  <c r="Q33" i="4"/>
  <c r="R33" i="4" s="1"/>
  <c r="S33" i="4" s="1"/>
  <c r="O33" i="4"/>
  <c r="P33" i="4" s="1"/>
  <c r="K34" i="4"/>
  <c r="E51" i="4"/>
  <c r="H51" i="4" s="1"/>
  <c r="I51" i="4" s="1"/>
  <c r="N36" i="4"/>
  <c r="H38" i="4"/>
  <c r="I39" i="4"/>
  <c r="P54" i="4"/>
  <c r="J35" i="4"/>
  <c r="M47" i="4"/>
  <c r="G47" i="4"/>
  <c r="L47" i="4" s="1"/>
  <c r="O47" i="4" s="1"/>
  <c r="G16" i="4"/>
  <c r="B17" i="4"/>
  <c r="H16" i="4"/>
  <c r="I16" i="4" s="1"/>
  <c r="J16" i="4" s="1"/>
  <c r="E36" i="4" s="1"/>
  <c r="Q53" i="4"/>
  <c r="M37" i="4"/>
  <c r="S34" i="4" l="1"/>
  <c r="W33" i="4"/>
  <c r="N51" i="4"/>
  <c r="N37" i="4"/>
  <c r="E52" i="4"/>
  <c r="H52" i="4" s="1"/>
  <c r="I52" i="4" s="1"/>
  <c r="Q54" i="4"/>
  <c r="M38" i="4"/>
  <c r="K35" i="4"/>
  <c r="U32" i="4"/>
  <c r="T33" i="4"/>
  <c r="G17" i="4"/>
  <c r="B18" i="4"/>
  <c r="H17" i="4"/>
  <c r="I17" i="4" s="1"/>
  <c r="J17" i="4" s="1"/>
  <c r="E37" i="4" s="1"/>
  <c r="J36" i="4"/>
  <c r="C38" i="4"/>
  <c r="V38" i="4" s="1"/>
  <c r="Q34" i="4"/>
  <c r="R34" i="4" s="1"/>
  <c r="L35" i="4"/>
  <c r="O34" i="4"/>
  <c r="P34" i="4" s="1"/>
  <c r="P55" i="4"/>
  <c r="H39" i="4"/>
  <c r="G48" i="4"/>
  <c r="L48" i="4" s="1"/>
  <c r="O48" i="4" s="1"/>
  <c r="N52" i="4" l="1"/>
  <c r="G18" i="4"/>
  <c r="B19" i="4"/>
  <c r="H18" i="4"/>
  <c r="I18" i="4" s="1"/>
  <c r="J18" i="4" s="1"/>
  <c r="E38" i="4" s="1"/>
  <c r="N38" i="4"/>
  <c r="E53" i="4"/>
  <c r="H53" i="4" s="1"/>
  <c r="I53" i="4" s="1"/>
  <c r="J37" i="4"/>
  <c r="W34" i="4"/>
  <c r="M48" i="4"/>
  <c r="G49" i="4"/>
  <c r="L49" i="4" s="1"/>
  <c r="O49" i="4" s="1"/>
  <c r="Q55" i="4"/>
  <c r="K36" i="4"/>
  <c r="U33" i="4"/>
  <c r="T34" i="4"/>
  <c r="C39" i="4"/>
  <c r="V39" i="4" s="1"/>
  <c r="L36" i="4"/>
  <c r="Q35" i="4"/>
  <c r="R35" i="4" s="1"/>
  <c r="S35" i="4" s="1"/>
  <c r="O35" i="4"/>
  <c r="P35" i="4" s="1"/>
  <c r="N53" i="4" l="1"/>
  <c r="W35" i="4"/>
  <c r="U34" i="4"/>
  <c r="T35" i="4"/>
  <c r="J38" i="4"/>
  <c r="M49" i="4"/>
  <c r="G19" i="4"/>
  <c r="H19" i="4"/>
  <c r="I19" i="4" s="1"/>
  <c r="J19" i="4" s="1"/>
  <c r="E39" i="4" s="1"/>
  <c r="G50" i="4"/>
  <c r="L50" i="4" s="1"/>
  <c r="O50" i="4" s="1"/>
  <c r="M39" i="4"/>
  <c r="Q36" i="4"/>
  <c r="R36" i="4" s="1"/>
  <c r="S36" i="4" s="1"/>
  <c r="O36" i="4"/>
  <c r="P36" i="4" s="1"/>
  <c r="K37" i="4"/>
  <c r="W36" i="4" l="1"/>
  <c r="K38" i="4"/>
  <c r="T36" i="4"/>
  <c r="U35" i="4"/>
  <c r="J39" i="4"/>
  <c r="Q37" i="4"/>
  <c r="R37" i="4" s="1"/>
  <c r="S37" i="4" s="1"/>
  <c r="O37" i="4"/>
  <c r="P37" i="4" s="1"/>
  <c r="E54" i="4"/>
  <c r="H54" i="4" s="1"/>
  <c r="E55" i="4"/>
  <c r="N39" i="4"/>
  <c r="G51" i="4"/>
  <c r="L51" i="4" s="1"/>
  <c r="O51" i="4" s="1"/>
  <c r="L37" i="4"/>
  <c r="M50" i="4"/>
  <c r="W37" i="4" l="1"/>
  <c r="K39" i="4"/>
  <c r="H55" i="4"/>
  <c r="I54" i="4"/>
  <c r="Q38" i="4"/>
  <c r="R38" i="4" s="1"/>
  <c r="S38" i="4" s="1"/>
  <c r="L39" i="4"/>
  <c r="O38" i="4"/>
  <c r="P38" i="4" s="1"/>
  <c r="U36" i="4"/>
  <c r="T37" i="4"/>
  <c r="M51" i="4"/>
  <c r="G52" i="4"/>
  <c r="L52" i="4" s="1"/>
  <c r="O52" i="4" s="1"/>
  <c r="L38" i="4"/>
  <c r="W38" i="4" l="1"/>
  <c r="I55" i="4"/>
  <c r="N54" i="4"/>
  <c r="N55" i="4" s="1"/>
  <c r="M52" i="4"/>
  <c r="M53" i="4" s="1"/>
  <c r="U37" i="4"/>
  <c r="T38" i="4"/>
  <c r="Q39" i="4"/>
  <c r="R39" i="4" s="1"/>
  <c r="S39" i="4" s="1"/>
  <c r="W39" i="4" s="1"/>
  <c r="O39" i="4"/>
  <c r="P39" i="4" s="1"/>
  <c r="G53" i="4"/>
  <c r="L53" i="4" s="1"/>
  <c r="O53" i="4" s="1"/>
  <c r="U38" i="4" l="1"/>
  <c r="T39" i="4"/>
  <c r="U39" i="4" s="1"/>
  <c r="G54" i="4"/>
  <c r="L54" i="4" s="1"/>
  <c r="G55" i="4"/>
  <c r="L55" i="4" l="1"/>
  <c r="O54" i="4"/>
  <c r="O55" i="4" s="1"/>
  <c r="M54" i="4"/>
  <c r="M55" i="4" l="1"/>
</calcChain>
</file>

<file path=xl/sharedStrings.xml><?xml version="1.0" encoding="utf-8"?>
<sst xmlns="http://schemas.openxmlformats.org/spreadsheetml/2006/main" count="84" uniqueCount="74">
  <si>
    <t>Ball Valve Type : 150mm diameter (6 inches)</t>
  </si>
  <si>
    <t>x(mm)</t>
  </si>
  <si>
    <t>Fluid Natural Gas.</t>
  </si>
  <si>
    <t>INVENTORY OF FLOW AFTER RUPTURE</t>
  </si>
  <si>
    <t>Density (ρ) kg/m-3</t>
  </si>
  <si>
    <t>TIME SUBSEQUENT TO CLOSURE</t>
  </si>
  <si>
    <t xml:space="preserve"> (R - (2R-x(t)/2)/360)</t>
  </si>
  <si>
    <t xml:space="preserve"> E*C</t>
  </si>
  <si>
    <t>(R-(2R-x(t)/2))</t>
  </si>
  <si>
    <t>G*H</t>
  </si>
  <si>
    <t>Time of closure</t>
  </si>
  <si>
    <t>PRESSURE DIFFRENTIAL ACROSS VALVE</t>
  </si>
  <si>
    <t>X=</t>
  </si>
  <si>
    <t>DISTANCE TRANSVERSE BY VALVE</t>
  </si>
  <si>
    <t>INVENTORY FOR CLOSURE TIME</t>
  </si>
  <si>
    <t>INVENTORY AFTER VALVE CLOSURE</t>
  </si>
  <si>
    <t>HCR INVENTORY GRAPHS FOR TIME OF CLOSURE AFTER FULL BORE RUPTURE.</t>
  </si>
  <si>
    <t>HCR INVENTORY GRAPHS AT TIME SUBSEQUENT TO CLOSURE(TIME DURING &amp; AFTER VALVE CLOSURE).</t>
  </si>
  <si>
    <t>Degree of Opening (Ѳ)</t>
  </si>
  <si>
    <t>M(kg/mol) =</t>
  </si>
  <si>
    <t xml:space="preserve"> R (mm)=</t>
  </si>
  <si>
    <t xml:space="preserve">Remarks </t>
  </si>
  <si>
    <t>Relationship of Pressure differential with other HCR Parameters</t>
  </si>
  <si>
    <t>Valves Opening Area with other Parameters.</t>
  </si>
  <si>
    <t>The Relationship of Degree of Opening with other HCR Parameters.</t>
  </si>
  <si>
    <t>The Relationship of Compressibility Factor with other Parameters.</t>
  </si>
  <si>
    <t>Length transverse
x(mm)</t>
  </si>
  <si>
    <t>Pressure Diffrential @ valve
∆P(bar)</t>
  </si>
  <si>
    <t>Fluid velocity
u(t)(m/s)</t>
  </si>
  <si>
    <t>Area Ratio
A</t>
  </si>
  <si>
    <t>time decay constant
α</t>
  </si>
  <si>
    <t>Pi (bar) =</t>
  </si>
  <si>
    <t>Radius Ratio
D
(2R/50)</t>
  </si>
  <si>
    <t>∑∆P
cumulative
Pressure
(bar)</t>
  </si>
  <si>
    <r>
      <t>∆P</t>
    </r>
    <r>
      <rPr>
        <vertAlign val="subscript"/>
        <sz val="11"/>
        <color theme="1"/>
        <rFont val="Calibri"/>
        <family val="2"/>
        <scheme val="minor"/>
      </rPr>
      <t xml:space="preserve">max </t>
    </r>
    <r>
      <rPr>
        <sz val="11"/>
        <color theme="1"/>
        <rFont val="Calibri"/>
        <family val="2"/>
        <scheme val="minor"/>
      </rPr>
      <t>(bar)=</t>
    </r>
  </si>
  <si>
    <r>
      <t>T(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 =</t>
    </r>
  </si>
  <si>
    <r>
      <t>∏R</t>
    </r>
    <r>
      <rPr>
        <vertAlign val="superscript"/>
        <sz val="11"/>
        <color theme="1"/>
        <rFont val="Calibri"/>
        <family val="2"/>
        <scheme val="minor"/>
      </rPr>
      <t>2</t>
    </r>
    <r>
      <rPr>
        <vertAlign val="subscript"/>
        <sz val="11"/>
        <color theme="1"/>
        <rFont val="Calibri"/>
        <family val="2"/>
        <scheme val="minor"/>
      </rPr>
      <t xml:space="preserve">* </t>
    </r>
    <r>
      <rPr>
        <sz val="11"/>
        <color theme="1"/>
        <rFont val="Calibri"/>
        <family val="2"/>
        <scheme val="minor"/>
      </rPr>
      <t>2</t>
    </r>
  </si>
  <si>
    <r>
      <t>COS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(D)</t>
    </r>
  </si>
  <si>
    <r>
      <t>√[R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-(R-(2R-x(t)/2)]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</si>
  <si>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Valve Opening Area A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(mm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</si>
  <si>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theme="1"/>
        <rFont val="Calibri"/>
        <family val="2"/>
        <scheme val="minor"/>
      </rPr>
      <t>d</t>
    </r>
  </si>
  <si>
    <r>
      <t>Internal Area of Pipe
A</t>
    </r>
    <r>
      <rPr>
        <vertAlign val="subscript"/>
        <sz val="11"/>
        <color theme="1"/>
        <rFont val="Calibri"/>
        <family val="2"/>
        <scheme val="minor"/>
      </rPr>
      <t>pipe</t>
    </r>
  </si>
  <si>
    <r>
      <t>Valve Opening Area 
A</t>
    </r>
    <r>
      <rPr>
        <vertAlign val="subscript"/>
        <sz val="11"/>
        <color theme="1"/>
        <rFont val="Calibri"/>
        <family val="2"/>
        <scheme val="minor"/>
      </rPr>
      <t>f
(mm</t>
    </r>
    <r>
      <rPr>
        <vertAlign val="superscript"/>
        <sz val="11"/>
        <color theme="1"/>
        <rFont val="Calibri"/>
        <family val="2"/>
        <scheme val="minor"/>
      </rPr>
      <t>2</t>
    </r>
    <r>
      <rPr>
        <vertAlign val="subscript"/>
        <sz val="11"/>
        <color theme="1"/>
        <rFont val="Calibri"/>
        <family val="2"/>
        <scheme val="minor"/>
      </rPr>
      <t>)</t>
    </r>
  </si>
  <si>
    <r>
      <t>Coefficient of Discharge
C</t>
    </r>
    <r>
      <rPr>
        <vertAlign val="subscript"/>
        <sz val="11"/>
        <color theme="1"/>
        <rFont val="Calibri"/>
        <family val="2"/>
        <scheme val="minor"/>
      </rPr>
      <t>d</t>
    </r>
  </si>
  <si>
    <r>
      <t>Downstream Pressure at valve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(bar)</t>
    </r>
  </si>
  <si>
    <r>
      <t>Upstream Pressure at valve P</t>
    </r>
    <r>
      <rPr>
        <vertAlign val="subscript"/>
        <sz val="11"/>
        <color theme="1"/>
        <rFont val="Calibri"/>
        <family val="2"/>
        <scheme val="minor"/>
      </rPr>
      <t>k(bar)</t>
    </r>
  </si>
  <si>
    <r>
      <t>∆u(t)= u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-u</t>
    </r>
    <r>
      <rPr>
        <vertAlign val="subscript"/>
        <sz val="11"/>
        <color theme="1"/>
        <rFont val="Calibri"/>
        <family val="2"/>
        <scheme val="minor"/>
      </rPr>
      <t xml:space="preserve">i-1
</t>
    </r>
    <r>
      <rPr>
        <sz val="11"/>
        <color theme="1"/>
        <rFont val="Calibri"/>
        <family val="2"/>
        <scheme val="minor"/>
      </rPr>
      <t>(m/s)</t>
    </r>
  </si>
  <si>
    <r>
      <t>mass flow rate @ Rupture
Q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(kg/s)</t>
    </r>
  </si>
  <si>
    <r>
      <t>volumetric flow @ rupture
Q</t>
    </r>
    <r>
      <rPr>
        <vertAlign val="subscript"/>
        <sz val="11"/>
        <color theme="1"/>
        <rFont val="Calibri"/>
        <family val="2"/>
        <scheme val="minor"/>
      </rPr>
      <t>j(</t>
    </r>
    <r>
      <rPr>
        <sz val="11"/>
        <color theme="1"/>
        <rFont val="Calibri"/>
        <family val="2"/>
        <scheme val="minor"/>
      </rP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</si>
  <si>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Total Outflow @ Rupture
Q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(t)
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</si>
  <si>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Cumulative
∑Q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</si>
  <si>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Cumulative
∑Q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(SCFM)</t>
    </r>
  </si>
  <si>
    <r>
      <t>Compressibility Factor(Z)
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/N)</t>
    </r>
  </si>
  <si>
    <r>
      <t>Q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mj-1</t>
    </r>
  </si>
  <si>
    <r>
      <t>∆P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/∆P</t>
    </r>
    <r>
      <rPr>
        <vertAlign val="subscript"/>
        <sz val="11"/>
        <color theme="1"/>
        <rFont val="Calibri"/>
        <family val="2"/>
        <scheme val="minor"/>
      </rPr>
      <t>i-1</t>
    </r>
  </si>
  <si>
    <r>
      <t>Q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i-1</t>
    </r>
  </si>
  <si>
    <r>
      <t>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(s)
LN(E/D)</t>
    </r>
  </si>
  <si>
    <r>
      <t>∆t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(s)
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 xml:space="preserve"> + t</t>
    </r>
    <r>
      <rPr>
        <vertAlign val="subscript"/>
        <sz val="11"/>
        <color theme="1"/>
        <rFont val="Calibri"/>
        <family val="2"/>
        <scheme val="minor"/>
      </rPr>
      <t>mj-1</t>
    </r>
  </si>
  <si>
    <r>
      <t>t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(s)
LN(F/D)</t>
    </r>
  </si>
  <si>
    <r>
      <t>∆t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(s)
t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+ t</t>
    </r>
    <r>
      <rPr>
        <vertAlign val="subscript"/>
        <sz val="11"/>
        <color theme="1"/>
        <rFont val="Calibri"/>
        <family val="2"/>
        <scheme val="minor"/>
      </rPr>
      <t>Pi-1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</si>
  <si>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outflow </t>
    </r>
    <r>
      <rPr>
        <sz val="11"/>
        <color theme="1"/>
        <rFont val="Calibri"/>
        <family val="2"/>
        <scheme val="minor"/>
      </rPr>
      <t>(s)
LN(G/D)</t>
    </r>
  </si>
  <si>
    <r>
      <t>∆t</t>
    </r>
    <r>
      <rPr>
        <vertAlign val="subscript"/>
        <sz val="11"/>
        <color theme="1"/>
        <rFont val="Calibri"/>
        <family val="2"/>
        <scheme val="minor"/>
      </rPr>
      <t xml:space="preserve">outflow </t>
    </r>
    <r>
      <rPr>
        <sz val="11"/>
        <color theme="1"/>
        <rFont val="Calibri"/>
        <family val="2"/>
        <scheme val="minor"/>
      </rPr>
      <t>(s)
t</t>
    </r>
    <r>
      <rPr>
        <vertAlign val="subscript"/>
        <sz val="11"/>
        <color theme="1"/>
        <rFont val="Calibri"/>
        <family val="2"/>
        <scheme val="minor"/>
      </rPr>
      <t>qi</t>
    </r>
    <r>
      <rPr>
        <sz val="11"/>
        <color theme="1"/>
        <rFont val="Calibri"/>
        <family val="2"/>
        <scheme val="minor"/>
      </rPr>
      <t xml:space="preserve"> + t</t>
    </r>
    <r>
      <rPr>
        <vertAlign val="subscript"/>
        <sz val="11"/>
        <color theme="1"/>
        <rFont val="Calibri"/>
        <family val="2"/>
        <scheme val="minor"/>
      </rPr>
      <t>qi-1</t>
    </r>
  </si>
  <si>
    <r>
      <t>Qj(m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
Q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 xml:space="preserve"> = Q</t>
    </r>
    <r>
      <rPr>
        <vertAlign val="subscript"/>
        <sz val="11"/>
        <color theme="1"/>
        <rFont val="Calibri"/>
        <family val="2"/>
        <scheme val="minor"/>
      </rPr>
      <t>mj-1</t>
    </r>
    <r>
      <rPr>
        <sz val="11"/>
        <color theme="1"/>
        <rFont val="Calibri"/>
        <family val="2"/>
        <scheme val="minor"/>
      </rPr>
      <t>EXP(-αt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)</t>
    </r>
  </si>
  <si>
    <r>
      <t>Volumetric outflow after closure
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
Q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 Qm</t>
    </r>
    <r>
      <rPr>
        <vertAlign val="subscript"/>
        <sz val="11"/>
        <color theme="1"/>
        <rFont val="Calibri"/>
        <family val="2"/>
        <scheme val="minor"/>
      </rPr>
      <t>i-1</t>
    </r>
    <r>
      <rPr>
        <sz val="11"/>
        <color theme="1"/>
        <rFont val="Calibri"/>
        <family val="2"/>
        <scheme val="minor"/>
      </rPr>
      <t>EXP(-αt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)</t>
    </r>
  </si>
  <si>
    <r>
      <t>∆P
Time decay
Pressure (bar).
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 P</t>
    </r>
    <r>
      <rPr>
        <vertAlign val="subscript"/>
        <sz val="11"/>
        <color theme="1"/>
        <rFont val="Calibri"/>
        <family val="2"/>
        <scheme val="minor"/>
      </rPr>
      <t>i-1</t>
    </r>
    <r>
      <rPr>
        <sz val="11"/>
        <color theme="1"/>
        <rFont val="Calibri"/>
        <family val="2"/>
        <scheme val="minor"/>
      </rPr>
      <t>EXP(-αt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) 
</t>
    </r>
  </si>
  <si>
    <r>
      <t>Expected closing Torque
 (Nm</t>
    </r>
    <r>
      <rPr>
        <sz val="11"/>
        <color theme="1"/>
        <rFont val="Calibri"/>
        <family val="2"/>
        <scheme val="minor"/>
      </rPr>
      <t>)</t>
    </r>
  </si>
  <si>
    <r>
      <t>Reverse flow 
Q</t>
    </r>
    <r>
      <rPr>
        <vertAlign val="subscript"/>
        <sz val="11"/>
        <color theme="1"/>
        <rFont val="Calibri"/>
        <family val="2"/>
        <scheme val="minor"/>
      </rPr>
      <t>rk</t>
    </r>
    <r>
      <rPr>
        <sz val="11"/>
        <color theme="1"/>
        <rFont val="Calibri"/>
        <family val="2"/>
        <scheme val="minor"/>
      </rPr>
      <t>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</si>
  <si>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t xml:space="preserve">Celerity c(m/s) 
* 10^2 </t>
  </si>
  <si>
    <r>
      <t>Volumetric flow across ValveQ</t>
    </r>
    <r>
      <rPr>
        <sz val="11"/>
        <color theme="1"/>
        <rFont val="Calibri"/>
        <family val="2"/>
        <scheme val="minor"/>
      </rPr>
      <t>(t)
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</si>
  <si>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∑(t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)
 = t</t>
    </r>
    <r>
      <rPr>
        <vertAlign val="subscript"/>
        <sz val="11"/>
        <color theme="1"/>
        <rFont val="Calibri"/>
        <family val="2"/>
        <scheme val="minor"/>
      </rPr>
      <t xml:space="preserve">ci </t>
    </r>
    <r>
      <rPr>
        <sz val="11"/>
        <color theme="1"/>
        <rFont val="Calibri"/>
        <family val="2"/>
        <scheme val="minor"/>
      </rPr>
      <t>+ t</t>
    </r>
    <r>
      <rPr>
        <vertAlign val="subscript"/>
        <sz val="11"/>
        <color theme="1"/>
        <rFont val="Calibri"/>
        <family val="2"/>
        <scheme val="minor"/>
      </rPr>
      <t>c(i-1)</t>
    </r>
    <r>
      <rPr>
        <sz val="11"/>
        <color theme="1"/>
        <rFont val="Calibri"/>
        <family val="2"/>
        <scheme val="minor"/>
      </rPr>
      <t>(s)</t>
    </r>
  </si>
  <si>
    <r>
      <t>time of closure
∆t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(s)</t>
    </r>
  </si>
  <si>
    <t>Valve size (Inches)</t>
  </si>
  <si>
    <t>Closure Time (s)</t>
  </si>
  <si>
    <t>Relationship of Varying Valve sizes/Diameters with time of Closure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</si>
</sst>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0"/>
    <numFmt numFmtId="165" formatCode="0.00000"/>
    <numFmt numFmtId="166" formatCode="0.0000000"/>
    <numFmt numFmtId="167" formatCode="0.000000"/>
    <numFmt numFmtId="168" formatCode="0.000000000"/>
    <numFmt numFmtId="169" formatCode="_-* #,##0.000000000_-;\-* #,##0.000000000_-;_-* &quot;-&quot;??_-;_-@_-"/>
    <numFmt numFmtId="170" formatCode="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0"/>
      <color theme="1"/>
      <name val="Verdana"/>
      <family val="2"/>
    </font>
    <font>
      <b/>
      <sz val="14"/>
      <color rgb="FF007FBC"/>
      <name val="Calibri"/>
      <family val="2"/>
      <scheme val="minor"/>
    </font>
    <font>
      <b/>
      <sz val="11"/>
      <color rgb="FF007FBC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2C6C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1B1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79">
    <xf numFmtId="0" fontId="0" fillId="0" borderId="0" xfId="0"/>
    <xf numFmtId="43" fontId="0" fillId="0" borderId="0" xfId="1" applyFont="1"/>
    <xf numFmtId="43" fontId="0" fillId="0" borderId="0" xfId="1" applyFont="1" applyAlignment="1">
      <alignment vertical="center" wrapText="1"/>
    </xf>
    <xf numFmtId="0" fontId="4" fillId="0" borderId="0" xfId="0" applyFont="1" applyAlignment="1"/>
    <xf numFmtId="0" fontId="5" fillId="0" borderId="0" xfId="0" applyFont="1"/>
    <xf numFmtId="0" fontId="7" fillId="0" borderId="0" xfId="0" applyFont="1"/>
    <xf numFmtId="0" fontId="5" fillId="5" borderId="0" xfId="0" applyFont="1" applyFill="1"/>
    <xf numFmtId="43" fontId="5" fillId="5" borderId="0" xfId="1" applyFont="1" applyFill="1"/>
    <xf numFmtId="0" fontId="5" fillId="0" borderId="0" xfId="0" applyFont="1" applyFill="1"/>
    <xf numFmtId="0" fontId="0" fillId="5" borderId="0" xfId="0" applyFont="1" applyFill="1"/>
    <xf numFmtId="43" fontId="0" fillId="5" borderId="0" xfId="1" applyFont="1" applyFill="1"/>
    <xf numFmtId="0" fontId="0" fillId="0" borderId="0" xfId="0" applyFont="1"/>
    <xf numFmtId="0" fontId="0" fillId="3" borderId="1" xfId="0" applyFont="1" applyFill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0" fillId="3" borderId="12" xfId="0" applyFont="1" applyFill="1" applyBorder="1" applyAlignment="1">
      <alignment horizontal="right"/>
    </xf>
    <xf numFmtId="170" fontId="0" fillId="0" borderId="0" xfId="0" applyNumberFormat="1" applyFont="1" applyAlignment="1">
      <alignment horizontal="left"/>
    </xf>
    <xf numFmtId="0" fontId="0" fillId="3" borderId="2" xfId="0" applyFont="1" applyFill="1" applyBorder="1" applyAlignment="1">
      <alignment horizontal="right"/>
    </xf>
    <xf numFmtId="0" fontId="0" fillId="0" borderId="0" xfId="0" applyFont="1" applyBorder="1"/>
    <xf numFmtId="0" fontId="0" fillId="2" borderId="9" xfId="0" applyFont="1" applyFill="1" applyBorder="1" applyAlignment="1">
      <alignment horizontal="center" vertical="center" wrapText="1"/>
    </xf>
    <xf numFmtId="43" fontId="0" fillId="2" borderId="9" xfId="1" applyFont="1" applyFill="1" applyBorder="1" applyAlignment="1">
      <alignment horizontal="center" vertical="center" wrapText="1"/>
    </xf>
    <xf numFmtId="0" fontId="0" fillId="0" borderId="2" xfId="0" applyFont="1" applyBorder="1"/>
    <xf numFmtId="164" fontId="0" fillId="0" borderId="2" xfId="0" applyNumberFormat="1" applyFont="1" applyBorder="1"/>
    <xf numFmtId="0" fontId="0" fillId="0" borderId="2" xfId="0" applyFont="1" applyFill="1" applyBorder="1"/>
    <xf numFmtId="0" fontId="0" fillId="0" borderId="4" xfId="0" applyFont="1" applyBorder="1"/>
    <xf numFmtId="0" fontId="0" fillId="0" borderId="1" xfId="0" applyFont="1" applyBorder="1"/>
    <xf numFmtId="0" fontId="0" fillId="0" borderId="1" xfId="0" applyFont="1" applyFill="1" applyBorder="1"/>
    <xf numFmtId="0" fontId="0" fillId="0" borderId="0" xfId="0" applyFont="1" applyAlignment="1">
      <alignment vertical="center" wrapText="1"/>
    </xf>
    <xf numFmtId="0" fontId="0" fillId="2" borderId="5" xfId="0" applyFont="1" applyFill="1" applyBorder="1" applyAlignment="1">
      <alignment horizontal="center" vertical="center" wrapText="1"/>
    </xf>
    <xf numFmtId="2" fontId="0" fillId="0" borderId="2" xfId="0" applyNumberFormat="1" applyFont="1" applyBorder="1"/>
    <xf numFmtId="2" fontId="0" fillId="4" borderId="1" xfId="0" applyNumberFormat="1" applyFont="1" applyFill="1" applyBorder="1"/>
    <xf numFmtId="165" fontId="0" fillId="0" borderId="2" xfId="0" applyNumberFormat="1" applyFont="1" applyBorder="1"/>
    <xf numFmtId="165" fontId="0" fillId="0" borderId="2" xfId="0" applyNumberFormat="1" applyFont="1" applyFill="1" applyBorder="1"/>
    <xf numFmtId="167" fontId="0" fillId="0" borderId="2" xfId="0" applyNumberFormat="1" applyFont="1" applyBorder="1"/>
    <xf numFmtId="2" fontId="0" fillId="0" borderId="1" xfId="0" applyNumberFormat="1" applyFont="1" applyBorder="1"/>
    <xf numFmtId="2" fontId="0" fillId="4" borderId="2" xfId="0" applyNumberFormat="1" applyFont="1" applyFill="1" applyBorder="1"/>
    <xf numFmtId="167" fontId="0" fillId="0" borderId="3" xfId="0" applyNumberFormat="1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Font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168" fontId="0" fillId="0" borderId="11" xfId="0" applyNumberFormat="1" applyFont="1" applyFill="1" applyBorder="1"/>
    <xf numFmtId="170" fontId="0" fillId="0" borderId="1" xfId="0" applyNumberFormat="1" applyFont="1" applyFill="1" applyBorder="1"/>
    <xf numFmtId="43" fontId="0" fillId="0" borderId="0" xfId="0" applyNumberFormat="1" applyFont="1"/>
    <xf numFmtId="170" fontId="0" fillId="0" borderId="1" xfId="0" applyNumberFormat="1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6" borderId="9" xfId="0" applyFont="1" applyFill="1" applyBorder="1" applyAlignment="1">
      <alignment horizontal="center" vertical="center" wrapText="1"/>
    </xf>
    <xf numFmtId="43" fontId="0" fillId="6" borderId="9" xfId="1" applyFont="1" applyFill="1" applyBorder="1" applyAlignment="1">
      <alignment horizontal="center" vertical="center" wrapText="1"/>
    </xf>
    <xf numFmtId="0" fontId="0" fillId="7" borderId="2" xfId="0" applyFont="1" applyFill="1" applyBorder="1"/>
    <xf numFmtId="0" fontId="0" fillId="7" borderId="8" xfId="0" applyFont="1" applyFill="1" applyBorder="1"/>
    <xf numFmtId="0" fontId="0" fillId="7" borderId="1" xfId="0" applyFont="1" applyFill="1" applyBorder="1"/>
    <xf numFmtId="43" fontId="0" fillId="7" borderId="2" xfId="1" applyFont="1" applyFill="1" applyBorder="1"/>
    <xf numFmtId="43" fontId="0" fillId="7" borderId="2" xfId="0" applyNumberFormat="1" applyFont="1" applyFill="1" applyBorder="1"/>
    <xf numFmtId="2" fontId="0" fillId="7" borderId="2" xfId="1" applyNumberFormat="1" applyFont="1" applyFill="1" applyBorder="1"/>
    <xf numFmtId="2" fontId="0" fillId="7" borderId="2" xfId="0" applyNumberFormat="1" applyFont="1" applyFill="1" applyBorder="1"/>
    <xf numFmtId="165" fontId="0" fillId="7" borderId="2" xfId="0" applyNumberFormat="1" applyFont="1" applyFill="1" applyBorder="1"/>
    <xf numFmtId="165" fontId="0" fillId="7" borderId="1" xfId="0" applyNumberFormat="1" applyFont="1" applyFill="1" applyBorder="1"/>
    <xf numFmtId="166" fontId="0" fillId="7" borderId="3" xfId="0" applyNumberFormat="1" applyFont="1" applyFill="1" applyBorder="1"/>
    <xf numFmtId="167" fontId="0" fillId="7" borderId="2" xfId="0" applyNumberFormat="1" applyFont="1" applyFill="1" applyBorder="1"/>
    <xf numFmtId="2" fontId="0" fillId="7" borderId="1" xfId="0" applyNumberFormat="1" applyFont="1" applyFill="1" applyBorder="1"/>
    <xf numFmtId="167" fontId="0" fillId="7" borderId="11" xfId="0" applyNumberFormat="1" applyFont="1" applyFill="1" applyBorder="1"/>
    <xf numFmtId="0" fontId="0" fillId="7" borderId="11" xfId="0" applyFont="1" applyFill="1" applyBorder="1"/>
    <xf numFmtId="169" fontId="0" fillId="7" borderId="1" xfId="0" applyNumberFormat="1" applyFont="1" applyFill="1" applyBorder="1"/>
    <xf numFmtId="170" fontId="0" fillId="7" borderId="1" xfId="0" applyNumberFormat="1" applyFont="1" applyFill="1" applyBorder="1"/>
    <xf numFmtId="2" fontId="0" fillId="7" borderId="11" xfId="0" applyNumberFormat="1" applyFont="1" applyFill="1" applyBorder="1"/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2" fontId="0" fillId="0" borderId="2" xfId="0" applyNumberFormat="1" applyBorder="1"/>
    <xf numFmtId="0" fontId="0" fillId="0" borderId="1" xfId="0" applyBorder="1"/>
    <xf numFmtId="0" fontId="12" fillId="0" borderId="0" xfId="0" applyFont="1"/>
    <xf numFmtId="0" fontId="13" fillId="2" borderId="1" xfId="0" applyFont="1" applyFill="1" applyBorder="1"/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/>
    </xf>
    <xf numFmtId="0" fontId="7" fillId="0" borderId="0" xfId="0" applyFont="1" applyFill="1" applyAlignment="1">
      <alignment horizontal="left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 wrapText="1"/>
    </xf>
  </cellXfs>
  <cellStyles count="8">
    <cellStyle name="Comma" xfId="1" builtinId="3"/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</cellStyles>
  <dxfs count="0"/>
  <tableStyles count="0" defaultTableStyle="TableStyleMedium9" defaultPivotStyle="PivotStyleLight16"/>
  <colors>
    <mruColors>
      <color rgb="FFC2C6C4"/>
      <color rgb="FFFF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Pressure Diffrential @ valve ∆P(bar)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432166081279677"/>
          <c:y val="0.1565700928664851"/>
          <c:w val="0.55920274868525699"/>
          <c:h val="0.625894795070247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data!$I$29:$I$38</c:f>
              <c:numCache>
                <c:formatCode>0.00</c:formatCode>
                <c:ptCount val="10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5E-4A94-8F85-04915D94D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65952"/>
        <c:axId val="96366528"/>
      </c:scatterChart>
      <c:valAx>
        <c:axId val="9636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 (s)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66528"/>
        <c:crosses val="autoZero"/>
        <c:crossBetween val="midCat"/>
      </c:valAx>
      <c:valAx>
        <c:axId val="963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Pressure Differential(bar)</a:t>
                </a:r>
              </a:p>
              <a:p>
                <a:pPr>
                  <a:defRPr/>
                </a:pPr>
                <a:r>
                  <a:rPr lang="en-US"/>
                  <a:t>across valve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6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66" l="0.70000000000000095" r="0.70000000000000095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Fluid velocity</a:t>
            </a:r>
            <a:r>
              <a:rPr lang="en-GB" baseline="0"/>
              <a:t> </a:t>
            </a:r>
            <a:r>
              <a:rPr lang="en-GB"/>
              <a:t>u(t)(m/s)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725553780571548"/>
          <c:y val="0.1565700928664851"/>
          <c:w val="0.62158085910146799"/>
          <c:h val="0.67130930727508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data!$K$28</c:f>
              <c:strCache>
                <c:ptCount val="1"/>
                <c:pt idx="0">
                  <c:v>Fluid velocity
u(t)(m/s)</c:v>
                </c:pt>
              </c:strCache>
            </c:strRef>
          </c:tx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data!$K$29:$K$38</c:f>
              <c:numCache>
                <c:formatCode>0.00000</c:formatCode>
                <c:ptCount val="10"/>
                <c:pt idx="0">
                  <c:v>1.6206277985825313</c:v>
                </c:pt>
                <c:pt idx="1">
                  <c:v>1.3842365079919579</c:v>
                </c:pt>
                <c:pt idx="2">
                  <c:v>1.1571303454251618</c:v>
                </c:pt>
                <c:pt idx="3">
                  <c:v>0.89841413958703331</c:v>
                </c:pt>
                <c:pt idx="4">
                  <c:v>0.6225919280911445</c:v>
                </c:pt>
                <c:pt idx="5">
                  <c:v>0.4695181409548087</c:v>
                </c:pt>
                <c:pt idx="6">
                  <c:v>0.31484549188266808</c:v>
                </c:pt>
                <c:pt idx="7">
                  <c:v>0.20583137318176256</c:v>
                </c:pt>
                <c:pt idx="8">
                  <c:v>0.12733533599808225</c:v>
                </c:pt>
                <c:pt idx="9">
                  <c:v>6.3955830175984302E-2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0-46E2-8D3C-13022B5FF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5840"/>
        <c:axId val="96367680"/>
      </c:scatterChart>
      <c:valAx>
        <c:axId val="9639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</a:t>
                </a:r>
                <a:r>
                  <a:rPr lang="en-GB" baseline="0"/>
                  <a:t> during </a:t>
                </a:r>
                <a:r>
                  <a:rPr lang="en-GB"/>
                  <a:t>closure(s)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96367680"/>
        <c:crosses val="autoZero"/>
        <c:crossBetween val="midCat"/>
      </c:valAx>
      <c:valAx>
        <c:axId val="96367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Flow velocity u(t)(m/s)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96395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mass flow rate @ Rupture</a:t>
            </a:r>
            <a:r>
              <a:rPr lang="en-GB" baseline="0"/>
              <a:t> </a:t>
            </a:r>
            <a:r>
              <a:rPr lang="en-GB"/>
              <a:t>Q</a:t>
            </a:r>
            <a:r>
              <a:rPr lang="en-GB" baseline="-25000"/>
              <a:t>mj</a:t>
            </a:r>
            <a:r>
              <a:rPr lang="en-GB"/>
              <a:t>(kg/s)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725556930634797"/>
          <c:y val="0.15810927480127793"/>
          <c:w val="0.6322488371519247"/>
          <c:h val="0.668078072196188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data!$M$28</c:f>
              <c:strCache>
                <c:ptCount val="1"/>
                <c:pt idx="0">
                  <c:v>mass flow rate @ Rupture
Qmj(kg/s)</c:v>
                </c:pt>
              </c:strCache>
            </c:strRef>
          </c:tx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data!$M$29:$M$38</c:f>
              <c:numCache>
                <c:formatCode>0.00000</c:formatCode>
                <c:ptCount val="10"/>
                <c:pt idx="0">
                  <c:v>3.6863217073572301</c:v>
                </c:pt>
                <c:pt idx="1">
                  <c:v>2.6848284423204203</c:v>
                </c:pt>
                <c:pt idx="2">
                  <c:v>1.8656245992677361</c:v>
                </c:pt>
                <c:pt idx="3">
                  <c:v>1.3096241817629581</c:v>
                </c:pt>
                <c:pt idx="4">
                  <c:v>0.93133916731109923</c:v>
                </c:pt>
                <c:pt idx="5">
                  <c:v>0.67282940054238649</c:v>
                </c:pt>
                <c:pt idx="6">
                  <c:v>0.49486016376986958</c:v>
                </c:pt>
                <c:pt idx="7">
                  <c:v>0.3709403134986522</c:v>
                </c:pt>
                <c:pt idx="8">
                  <c:v>0.2832860444088226</c:v>
                </c:pt>
                <c:pt idx="9">
                  <c:v>0.22005736740648213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E-42DA-8562-4F7C9FF1B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69408"/>
        <c:axId val="96395264"/>
      </c:scatterChart>
      <c:valAx>
        <c:axId val="9636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</a:t>
                </a:r>
                <a:r>
                  <a:rPr lang="en-GB" baseline="0"/>
                  <a:t> during </a:t>
                </a:r>
                <a:r>
                  <a:rPr lang="en-GB"/>
                  <a:t>closure(s)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96395264"/>
        <c:crosses val="autoZero"/>
        <c:crossBetween val="midCat"/>
      </c:valAx>
      <c:valAx>
        <c:axId val="96395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mass flow rate Qmj(kg/s)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96369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636312425453327"/>
          <c:y val="0.42636883455636737"/>
          <c:w val="0.1792854932572045"/>
          <c:h val="0.3500768969947151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Outflow @ Rupture Qoutflow(m3/s)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85400247348404"/>
          <c:y val="0.15810927480127793"/>
          <c:w val="0.56793950066869703"/>
          <c:h val="0.668078072196188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data!$P$28</c:f>
              <c:strCache>
                <c:ptCount val="1"/>
                <c:pt idx="0">
                  <c:v>Total Outflow @ Rupture
Qoutflow(t)
(m3/s)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data!$P$29:$P$38</c:f>
              <c:numCache>
                <c:formatCode>0.000000</c:formatCode>
                <c:ptCount val="10"/>
                <c:pt idx="0">
                  <c:v>2.3614347240293487E-2</c:v>
                </c:pt>
                <c:pt idx="1">
                  <c:v>0.45727020717663647</c:v>
                </c:pt>
                <c:pt idx="2">
                  <c:v>0.91906624653140656</c:v>
                </c:pt>
                <c:pt idx="3">
                  <c:v>1.1765523357610359</c:v>
                </c:pt>
                <c:pt idx="4">
                  <c:v>1.1505439488003615</c:v>
                </c:pt>
                <c:pt idx="5">
                  <c:v>1.0034414872768236</c:v>
                </c:pt>
                <c:pt idx="6">
                  <c:v>0.76764786450880729</c:v>
                </c:pt>
                <c:pt idx="7">
                  <c:v>0.55082868099263627</c:v>
                </c:pt>
                <c:pt idx="8">
                  <c:v>0.37059110822237978</c:v>
                </c:pt>
                <c:pt idx="9">
                  <c:v>0.21499837013205253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BF-4CB3-AAC2-F7D5E37DC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7568"/>
        <c:axId val="96398144"/>
      </c:scatterChart>
      <c:valAx>
        <c:axId val="9639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98144"/>
        <c:crosses val="autoZero"/>
        <c:crossBetween val="midCat"/>
      </c:valAx>
      <c:valAx>
        <c:axId val="963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Volmetric Outflow Qoutflow(t)(m3/s)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9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Decay</a:t>
            </a:r>
            <a:r>
              <a:rPr lang="en-GB" baseline="0"/>
              <a:t> mass flow rate during &amp; after valve closure time</a:t>
            </a:r>
            <a:endParaRPr lang="en-GB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609229917116044"/>
          <c:y val="0.22317749050531244"/>
          <c:w val="0.60579892657869339"/>
          <c:h val="0.615650822662583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data!$N$44</c:f>
              <c:strCache>
                <c:ptCount val="1"/>
                <c:pt idx="0">
                  <c:v>Qj(m3/s)
Qmj = Qmj-1EXP(-αtmj)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xVal>
            <c:numRef>
              <c:f>data!$I$45:$I$55</c:f>
              <c:numCache>
                <c:formatCode>General</c:formatCode>
                <c:ptCount val="11"/>
                <c:pt idx="0">
                  <c:v>1.675552574441215</c:v>
                </c:pt>
                <c:pt idx="1">
                  <c:v>3.3040965231651502</c:v>
                </c:pt>
                <c:pt idx="2">
                  <c:v>4.9428057092574509</c:v>
                </c:pt>
                <c:pt idx="3">
                  <c:v>6.5944986106042665</c:v>
                </c:pt>
                <c:pt idx="4">
                  <c:v>8.2619317788399851</c:v>
                </c:pt>
                <c:pt idx="5">
                  <c:v>9.9472800745651444</c:v>
                </c:pt>
                <c:pt idx="6">
                  <c:v>11.651610895938013</c:v>
                </c:pt>
                <c:pt idx="7">
                  <c:v>13.374591748120473</c:v>
                </c:pt>
                <c:pt idx="8">
                  <c:v>15.114587753608852</c:v>
                </c:pt>
                <c:pt idx="9">
                  <c:v>16.869092771222526</c:v>
                </c:pt>
                <c:pt idx="10">
                  <c:v>18.669092771222527</c:v>
                </c:pt>
              </c:numCache>
            </c:numRef>
          </c:xVal>
          <c:yVal>
            <c:numRef>
              <c:f>data!$N$45:$N$55</c:f>
              <c:numCache>
                <c:formatCode>_-* #,##0.000000000_-;\-* #,##0.000000000_-;_-* "-"??_-;_-@_-</c:formatCode>
                <c:ptCount val="11"/>
                <c:pt idx="0">
                  <c:v>1.8791427782746187E-2</c:v>
                </c:pt>
                <c:pt idx="1">
                  <c:v>1.4582461250573425E-2</c:v>
                </c:pt>
                <c:pt idx="2">
                  <c:v>1.2045416465177159E-2</c:v>
                </c:pt>
                <c:pt idx="3">
                  <c:v>1.0050955931004009E-2</c:v>
                </c:pt>
                <c:pt idx="4">
                  <c:v>8.4924757987264541E-3</c:v>
                </c:pt>
                <c:pt idx="5">
                  <c:v>7.2815156653138376E-3</c:v>
                </c:pt>
                <c:pt idx="6">
                  <c:v>6.3439994312371661E-3</c:v>
                </c:pt>
                <c:pt idx="7">
                  <c:v>5.6178856385670243E-3</c:v>
                </c:pt>
                <c:pt idx="8">
                  <c:v>5.0518996725577581E-3</c:v>
                </c:pt>
                <c:pt idx="9">
                  <c:v>4.6047697696937314E-3</c:v>
                </c:pt>
                <c:pt idx="10" formatCode="0.000">
                  <c:v>4.0000000000000001E-3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F9-4EBF-8F2C-D092CDF88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9872"/>
        <c:axId val="96400448"/>
      </c:scatterChart>
      <c:valAx>
        <c:axId val="9639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subsequent to closure(s)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6400448"/>
        <c:crosses val="autoZero"/>
        <c:crossBetween val="midCat"/>
      </c:valAx>
      <c:valAx>
        <c:axId val="96400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mass flow rate </a:t>
                </a:r>
                <a:r>
                  <a:rPr lang="en-GB" sz="1000" b="0" i="0" u="none" strike="noStrike" baseline="0">
                    <a:effectLst/>
                  </a:rPr>
                  <a:t>Qmj(kg/s)</a:t>
                </a:r>
                <a:r>
                  <a:rPr lang="en-GB" sz="1000" b="1" i="0" u="none" strike="noStrike" baseline="0"/>
                  <a:t> </a:t>
                </a:r>
                <a:endParaRPr lang="en-GB"/>
              </a:p>
            </c:rich>
          </c:tx>
          <c:overlay val="0"/>
        </c:title>
        <c:numFmt formatCode="_-* #,##0.000000000_-;\-* #,##0.000000000_-;_-* &quot;-&quot;??_-;_-@_-" sourceLinked="1"/>
        <c:majorTickMark val="none"/>
        <c:minorTickMark val="none"/>
        <c:tickLblPos val="nextTo"/>
        <c:crossAx val="96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547531582505048"/>
          <c:y val="0.46652325296514369"/>
          <c:w val="0.20210407136929759"/>
          <c:h val="0.178276527991049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Volumetric outflow during &amp; after valve closure time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41312563381123"/>
          <c:y val="0.17917133586245521"/>
          <c:w val="0.55799046312503231"/>
          <c:h val="0.664608497572904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data!$O$44</c:f>
              <c:strCache>
                <c:ptCount val="1"/>
                <c:pt idx="0">
                  <c:v>Volumetric outflow after closure
(m3/s)
Qi = Qmi-1EXP(-αtoutflow)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data!$M$45:$M$55</c:f>
              <c:numCache>
                <c:formatCode>General</c:formatCode>
                <c:ptCount val="11"/>
                <c:pt idx="0">
                  <c:v>4.9559848949000767</c:v>
                </c:pt>
                <c:pt idx="1">
                  <c:v>7.6466334979648725</c:v>
                </c:pt>
                <c:pt idx="2">
                  <c:v>9.8861838612066286</c:v>
                </c:pt>
                <c:pt idx="3">
                  <c:v>11.856395155218948</c:v>
                </c:pt>
                <c:pt idx="4">
                  <c:v>13.71216078161674</c:v>
                </c:pt>
                <c:pt idx="5">
                  <c:v>15.436865918958791</c:v>
                </c:pt>
                <c:pt idx="6">
                  <c:v>17.097523514720514</c:v>
                </c:pt>
                <c:pt idx="7">
                  <c:v>18.693763875331932</c:v>
                </c:pt>
                <c:pt idx="8">
                  <c:v>20.141859878999973</c:v>
                </c:pt>
                <c:pt idx="9">
                  <c:v>20.750227549256884</c:v>
                </c:pt>
                <c:pt idx="10">
                  <c:v>21.450227549256883</c:v>
                </c:pt>
              </c:numCache>
            </c:numRef>
          </c:xVal>
          <c:yVal>
            <c:numRef>
              <c:f>data!$O$45:$O$55</c:f>
              <c:numCache>
                <c:formatCode>0.000000000</c:formatCode>
                <c:ptCount val="11"/>
                <c:pt idx="0">
                  <c:v>1.2014681662191213E-2</c:v>
                </c:pt>
                <c:pt idx="1">
                  <c:v>0.31684645104068893</c:v>
                </c:pt>
                <c:pt idx="2">
                  <c:v>0.67722672355314739</c:v>
                </c:pt>
                <c:pt idx="3">
                  <c:v>0.89938815564195373</c:v>
                </c:pt>
                <c:pt idx="4">
                  <c:v>0.89333821313641171</c:v>
                </c:pt>
                <c:pt idx="5">
                  <c:v>0.79316833412184351</c:v>
                </c:pt>
                <c:pt idx="6">
                  <c:v>0.6121077405841554</c:v>
                </c:pt>
                <c:pt idx="7">
                  <c:v>0.44309492186576283</c:v>
                </c:pt>
                <c:pt idx="8">
                  <c:v>0.30419175734974474</c:v>
                </c:pt>
                <c:pt idx="9">
                  <c:v>0.1978842758514022</c:v>
                </c:pt>
                <c:pt idx="10" formatCode="0.000">
                  <c:v>0.19700000000000001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59-4AB6-8F61-CB8BD895E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02176"/>
        <c:axId val="96402752"/>
      </c:scatterChart>
      <c:valAx>
        <c:axId val="9640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subsequent to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02752"/>
        <c:crosses val="autoZero"/>
        <c:crossBetween val="midCat"/>
      </c:valAx>
      <c:valAx>
        <c:axId val="9640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Outflow Qoutflow(t)(m3/s)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0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Reverse flow </a:t>
            </a:r>
            <a:r>
              <a:rPr lang="en-GB" baseline="0"/>
              <a:t> </a:t>
            </a:r>
            <a:r>
              <a:rPr lang="en-GB"/>
              <a:t>Qrk(m3/s)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data!$O$28</c:f>
              <c:strCache>
                <c:ptCount val="1"/>
                <c:pt idx="0">
                  <c:v>Reverse flow 
Qrk(m3/s)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data!$O$29:$O$39</c:f>
              <c:numCache>
                <c:formatCode>0.000000</c:formatCode>
                <c:ptCount val="11"/>
                <c:pt idx="0">
                  <c:v>0</c:v>
                </c:pt>
                <c:pt idx="1">
                  <c:v>0.43438896519430981</c:v>
                </c:pt>
                <c:pt idx="2">
                  <c:v>0.89543399477181973</c:v>
                </c:pt>
                <c:pt idx="3">
                  <c:v>1.1518525041515537</c:v>
                </c:pt>
                <c:pt idx="4">
                  <c:v>1.1243466613814825</c:v>
                </c:pt>
                <c:pt idx="5">
                  <c:v>0.97517707203782666</c:v>
                </c:pt>
                <c:pt idx="6">
                  <c:v>0.73658070173811185</c:v>
                </c:pt>
                <c:pt idx="7">
                  <c:v>0.51603215113558376</c:v>
                </c:pt>
                <c:pt idx="8">
                  <c:v>0.33092223384728481</c:v>
                </c:pt>
                <c:pt idx="9">
                  <c:v>0.16906859312849301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25-4A4F-9235-F9A4F88A1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0544"/>
        <c:axId val="280381120"/>
      </c:scatterChart>
      <c:valAx>
        <c:axId val="28038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  <a:r>
                  <a:rPr lang="en-GB" baseline="0"/>
                  <a:t>  during closure(s)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80381120"/>
        <c:crosses val="autoZero"/>
        <c:crossBetween val="midCat"/>
      </c:valAx>
      <c:valAx>
        <c:axId val="280381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 Reverse</a:t>
                </a:r>
                <a:r>
                  <a:rPr lang="en-GB" baseline="0"/>
                  <a:t> Flow Qrk(m3/s)</a:t>
                </a:r>
                <a:endParaRPr lang="en-GB"/>
              </a:p>
            </c:rich>
          </c:tx>
          <c:overlay val="0"/>
        </c:title>
        <c:numFmt formatCode="0.000000" sourceLinked="1"/>
        <c:majorTickMark val="none"/>
        <c:minorTickMark val="none"/>
        <c:tickLblPos val="nextTo"/>
        <c:crossAx val="2803805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Volumetric flow across Valve Q (m3/s)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25556930634797"/>
          <c:y val="0.1565700928664851"/>
          <c:w val="0.56584958583454514"/>
          <c:h val="0.67130930727508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data!$J$28</c:f>
              <c:strCache>
                <c:ptCount val="1"/>
                <c:pt idx="0">
                  <c:v>Volumetric flow across ValveQ(t)
(m3/s)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56-4643-926E-61815278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2848"/>
        <c:axId val="280383424"/>
      </c:scatterChart>
      <c:valAx>
        <c:axId val="28038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3424"/>
        <c:crosses val="autoZero"/>
        <c:crossBetween val="midCat"/>
      </c:valAx>
      <c:valAx>
        <c:axId val="2803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flow Across valve Qi(t)(m3/s)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2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66" l="0.70000000000000095" r="0.70000000000000095" t="0.750000000000002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Cumulative Qoutflow(SCFM)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186376247363872"/>
          <c:y val="0.14675975828117629"/>
          <c:w val="0.52458368638174024"/>
          <c:h val="0.66825170813353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data!$U$28</c:f>
              <c:strCache>
                <c:ptCount val="1"/>
                <c:pt idx="0">
                  <c:v>Cumulative
∑Qoutflow(SCFM)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data!$U$29:$U$39</c:f>
              <c:numCache>
                <c:formatCode>0.000000</c:formatCode>
                <c:ptCount val="11"/>
                <c:pt idx="0">
                  <c:v>50.038801802181901</c:v>
                </c:pt>
                <c:pt idx="1">
                  <c:v>1018.9943708094746</c:v>
                </c:pt>
                <c:pt idx="2">
                  <c:v>2966.4957472095252</c:v>
                </c:pt>
                <c:pt idx="3">
                  <c:v>5459.6101466871605</c:v>
                </c:pt>
                <c:pt idx="4">
                  <c:v>7897.6127741951268</c:v>
                </c:pt>
                <c:pt idx="5">
                  <c:v>10023.905285734716</c:v>
                </c:pt>
                <c:pt idx="6">
                  <c:v>11650.551110628878</c:v>
                </c:pt>
                <c:pt idx="7">
                  <c:v>12817.757085652276</c:v>
                </c:pt>
                <c:pt idx="8">
                  <c:v>13603.039643975497</c:v>
                </c:pt>
                <c:pt idx="9">
                  <c:v>14058.621190285317</c:v>
                </c:pt>
                <c:pt idx="10">
                  <c:v>14172.755683706751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2-4861-B975-7E6F7D51B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5728"/>
        <c:axId val="280386304"/>
      </c:scatterChart>
      <c:valAx>
        <c:axId val="28038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closure(s)</a:t>
                </a:r>
              </a:p>
            </c:rich>
          </c:tx>
          <c:layout>
            <c:manualLayout>
              <c:xMode val="edge"/>
              <c:yMode val="edge"/>
              <c:x val="0.42277356245953451"/>
              <c:y val="0.894073098208991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6304"/>
        <c:crosses val="autoZero"/>
        <c:crossBetween val="midCat"/>
      </c:valAx>
      <c:valAx>
        <c:axId val="28038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</a:t>
                </a:r>
              </a:p>
              <a:p>
                <a:pPr>
                  <a:defRPr/>
                </a:pPr>
                <a:r>
                  <a:rPr lang="en-GB"/>
                  <a:t>Qoutflow(SCFM)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Time decay Pressure ∆P  (bar).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9989998294137"/>
          <c:y val="0.18630369481557588"/>
          <c:w val="0.60551818514227007"/>
          <c:h val="0.64143539614789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data!$Q$44</c:f>
              <c:strCache>
                <c:ptCount val="1"/>
                <c:pt idx="0">
                  <c:v>∆P
Time decay
Pressure (bar).
Pi = Pi-1EXP(-αtp) 
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data!$K$45:$K$55</c:f>
              <c:numCache>
                <c:formatCode>General</c:formatCode>
                <c:ptCount val="11"/>
                <c:pt idx="0">
                  <c:v>1.8994744539237149</c:v>
                </c:pt>
                <c:pt idx="1">
                  <c:v>3.7574142180687193</c:v>
                </c:pt>
                <c:pt idx="2">
                  <c:v>5.5569959728261784</c:v>
                </c:pt>
                <c:pt idx="3">
                  <c:v>7.2761653652965634</c:v>
                </c:pt>
                <c:pt idx="4">
                  <c:v>8.8872632817443211</c:v>
                </c:pt>
                <c:pt idx="5">
                  <c:v>10.35746117125896</c:v>
                </c:pt>
                <c:pt idx="6">
                  <c:v>11.650243835452331</c:v>
                </c:pt>
                <c:pt idx="7">
                  <c:v>12.727810286045417</c:v>
                </c:pt>
                <c:pt idx="8">
                  <c:v>13.553827561023272</c:v>
                </c:pt>
                <c:pt idx="9">
                  <c:v>14.09578291765331</c:v>
                </c:pt>
                <c:pt idx="10">
                  <c:v>14.695782917653309</c:v>
                </c:pt>
              </c:numCache>
            </c:numRef>
          </c:xVal>
          <c:yVal>
            <c:numRef>
              <c:f>data!$Q$45:$Q$55</c:f>
              <c:numCache>
                <c:formatCode>General</c:formatCode>
                <c:ptCount val="11"/>
                <c:pt idx="0">
                  <c:v>173.66289746882643</c:v>
                </c:pt>
                <c:pt idx="1">
                  <c:v>123.25184610160566</c:v>
                </c:pt>
                <c:pt idx="2">
                  <c:v>89.162507619024311</c:v>
                </c:pt>
                <c:pt idx="3">
                  <c:v>66.138619459935072</c:v>
                </c:pt>
                <c:pt idx="4">
                  <c:v>50.626509315635985</c:v>
                </c:pt>
                <c:pt idx="5">
                  <c:v>40.225551830701953</c:v>
                </c:pt>
                <c:pt idx="6">
                  <c:v>33.315520085177056</c:v>
                </c:pt>
                <c:pt idx="7">
                  <c:v>28.803568244053846</c:v>
                </c:pt>
                <c:pt idx="8">
                  <c:v>25.95234537520216</c:v>
                </c:pt>
                <c:pt idx="9">
                  <c:v>24.263432866666363</c:v>
                </c:pt>
                <c:pt idx="10">
                  <c:v>22.249421810822664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5-4262-A365-6E362AC4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47872"/>
        <c:axId val="295248448"/>
      </c:scatterChart>
      <c:valAx>
        <c:axId val="2952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Subsequent time to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48448"/>
        <c:crosses val="autoZero"/>
        <c:crossBetween val="midCat"/>
      </c:valAx>
      <c:valAx>
        <c:axId val="2952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pressure(bar)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4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data!$T$28</c:f>
              <c:strCache>
                <c:ptCount val="1"/>
                <c:pt idx="0">
                  <c:v>Cumulative
∑Qoutflow(m3/s)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data!$T$29:$T$39</c:f>
              <c:numCache>
                <c:formatCode>0.000000</c:formatCode>
                <c:ptCount val="11"/>
                <c:pt idx="0">
                  <c:v>2.3614347240293487E-2</c:v>
                </c:pt>
                <c:pt idx="1">
                  <c:v>0.48088455441692995</c:v>
                </c:pt>
                <c:pt idx="2">
                  <c:v>1.3999508009483366</c:v>
                </c:pt>
                <c:pt idx="3">
                  <c:v>2.5765031367093725</c:v>
                </c:pt>
                <c:pt idx="4">
                  <c:v>3.7270470855097342</c:v>
                </c:pt>
                <c:pt idx="5">
                  <c:v>4.730488572786558</c:v>
                </c:pt>
                <c:pt idx="6">
                  <c:v>5.4981364372953649</c:v>
                </c:pt>
                <c:pt idx="7">
                  <c:v>6.0489651182880015</c:v>
                </c:pt>
                <c:pt idx="8">
                  <c:v>6.4195562265103812</c:v>
                </c:pt>
                <c:pt idx="9">
                  <c:v>6.6345545966424337</c:v>
                </c:pt>
                <c:pt idx="10">
                  <c:v>6.6884170286487734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C-4E7F-BCFD-99C2F7B04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50176"/>
        <c:axId val="295250752"/>
      </c:scatterChart>
      <c:valAx>
        <c:axId val="29525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50752"/>
        <c:crosses val="autoZero"/>
        <c:crossBetween val="midCat"/>
      </c:valAx>
      <c:valAx>
        <c:axId val="29525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Qoutflow in cubic meter pe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5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Pressure Diffrential </a:t>
            </a:r>
            <a:r>
              <a:rPr lang="en-GB" baseline="0"/>
              <a:t> </a:t>
            </a:r>
            <a:r>
              <a:rPr lang="en-GB"/>
              <a:t>∆P(bar) vs. Degree of Opening of Valve.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07035653549248"/>
          <c:y val="0.25293679774931532"/>
          <c:w val="0.58427092156414961"/>
          <c:h val="0.564400290041814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3B-421D-A053-50B30FE68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52480"/>
        <c:axId val="295253056"/>
      </c:scatterChart>
      <c:valAx>
        <c:axId val="29525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253056"/>
        <c:crosses val="autoZero"/>
        <c:crossBetween val="midCat"/>
      </c:valAx>
      <c:valAx>
        <c:axId val="295253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</a:t>
                </a:r>
                <a:r>
                  <a:rPr lang="en-GB" baseline="0"/>
                  <a:t> Valve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25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099870114197468"/>
          <c:y val="0.54498602028302712"/>
          <c:w val="0.19465530936222666"/>
          <c:h val="0.2059974727059707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Valve Opening Area A</a:t>
            </a:r>
            <a:r>
              <a:rPr lang="en-GB" baseline="-25000"/>
              <a:t>f </a:t>
            </a:r>
            <a:r>
              <a:rPr lang="en-GB"/>
              <a:t>(mm</a:t>
            </a:r>
            <a:r>
              <a:rPr lang="en-GB" baseline="30000"/>
              <a:t>2</a:t>
            </a:r>
            <a:r>
              <a:rPr lang="en-GB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A9-49B5-B5D1-0FDA012DA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54784"/>
        <c:axId val="295255360"/>
      </c:scatterChart>
      <c:valAx>
        <c:axId val="29525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255360"/>
        <c:crosses val="autoZero"/>
        <c:crossBetween val="midCat"/>
      </c:valAx>
      <c:valAx>
        <c:axId val="29525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Opening Area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254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3-46B5-8B85-F353CD61C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87968"/>
        <c:axId val="299788544"/>
      </c:scatterChart>
      <c:valAx>
        <c:axId val="29978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788544"/>
        <c:crosses val="autoZero"/>
        <c:crossBetween val="midCat"/>
      </c:valAx>
      <c:valAx>
        <c:axId val="29978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</a:t>
                </a:r>
                <a:r>
                  <a:rPr lang="en-GB" baseline="0"/>
                  <a:t> Valve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87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data!$L$9:$L$19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B3-4558-9488-7F1C5CFFA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90272"/>
        <c:axId val="299790848"/>
      </c:scatterChart>
      <c:valAx>
        <c:axId val="29979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Coeeficient of Disharge.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790848"/>
        <c:crosses val="autoZero"/>
        <c:crossBetween val="midCat"/>
      </c:valAx>
      <c:valAx>
        <c:axId val="299790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90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data!$C$29:$C$39</c:f>
              <c:numCache>
                <c:formatCode>0.00</c:formatCode>
                <c:ptCount val="11"/>
                <c:pt idx="0">
                  <c:v>156.10517071872343</c:v>
                </c:pt>
                <c:pt idx="1">
                  <c:v>117.33753108306638</c:v>
                </c:pt>
                <c:pt idx="2">
                  <c:v>78.944004923733686</c:v>
                </c:pt>
                <c:pt idx="3">
                  <c:v>53.021583404649583</c:v>
                </c:pt>
                <c:pt idx="4">
                  <c:v>35.550977183994135</c:v>
                </c:pt>
                <c:pt idx="5">
                  <c:v>23.804822949744704</c:v>
                </c:pt>
                <c:pt idx="6">
                  <c:v>15.928720862680565</c:v>
                </c:pt>
                <c:pt idx="7">
                  <c:v>10.66026741811644</c:v>
                </c:pt>
                <c:pt idx="8">
                  <c:v>7.1412675270331363</c:v>
                </c:pt>
                <c:pt idx="9">
                  <c:v>4.791169950366359</c:v>
                </c:pt>
                <c:pt idx="10">
                  <c:v>3.2200444806832014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06-4B41-A9E4-4A0EC6886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92576"/>
        <c:axId val="299793152"/>
      </c:scatterChart>
      <c:valAx>
        <c:axId val="29979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Density kg/m</a:t>
                </a:r>
                <a:r>
                  <a:rPr lang="en-GB" baseline="30000"/>
                  <a:t>3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93152"/>
        <c:crosses val="autoZero"/>
        <c:crossBetween val="midCat"/>
      </c:valAx>
      <c:valAx>
        <c:axId val="299793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Differential Pressure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92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1516202801381"/>
          <c:y val="9.5307424443231717E-2"/>
          <c:w val="0.67260027675996092"/>
          <c:h val="0.763369584989994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1-4722-97A9-A826C232D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84224"/>
        <c:axId val="305284800"/>
      </c:scatterChart>
      <c:valAx>
        <c:axId val="305284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Volumtric flow Across Valve(m</a:t>
                </a:r>
                <a:r>
                  <a:rPr lang="en-GB" baseline="30000"/>
                  <a:t>3</a:t>
                </a:r>
                <a:endParaRPr lang="en-GB"/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305284800"/>
        <c:crosses val="autoZero"/>
        <c:crossBetween val="midCat"/>
      </c:valAx>
      <c:valAx>
        <c:axId val="305284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Differential Pressure Across Valve 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4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055555555555601"/>
          <c:y val="0.41184492563429648"/>
          <c:w val="0.19833333333333317"/>
          <c:h val="0.1253838582677158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766200805955887"/>
          <c:y val="6.1904761904761914E-2"/>
          <c:w val="0.48992351379275872"/>
          <c:h val="0.70787326584177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B4-4B34-9866-9E645263A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86528"/>
        <c:axId val="305287104"/>
      </c:scatterChart>
      <c:valAx>
        <c:axId val="30528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Volumetric Flow Across Valve m</a:t>
                </a:r>
                <a:r>
                  <a:rPr lang="en-GB" baseline="30000"/>
                  <a:t>3</a:t>
                </a:r>
                <a:r>
                  <a:rPr lang="en-GB" baseline="0"/>
                  <a:t>/s)</a:t>
                </a:r>
                <a:endParaRPr lang="en-GB"/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305287104"/>
        <c:crosses val="autoZero"/>
        <c:crossBetween val="midCat"/>
      </c:valAx>
      <c:valAx>
        <c:axId val="305287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Area of Flow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data!$F$29:$F$39</c:f>
              <c:numCache>
                <c:formatCode>0.00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1D-40EB-9C06-022D47A69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88256"/>
        <c:axId val="305288832"/>
      </c:scatterChart>
      <c:valAx>
        <c:axId val="305288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Coefficient of Discharge of Valve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8832"/>
        <c:crosses val="autoZero"/>
        <c:crossBetween val="midCat"/>
      </c:valAx>
      <c:valAx>
        <c:axId val="305288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Area</a:t>
                </a:r>
                <a:r>
                  <a:rPr lang="en-GB" baseline="0"/>
                  <a:t> of flow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8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74-425C-9C70-C7F4276DE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90560"/>
        <c:axId val="306937856"/>
      </c:scatterChart>
      <c:valAx>
        <c:axId val="30529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6937856"/>
        <c:crosses val="autoZero"/>
        <c:crossBetween val="midCat"/>
      </c:valAx>
      <c:valAx>
        <c:axId val="306937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Opening Area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90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data!$K$8</c:f>
              <c:strCache>
                <c:ptCount val="1"/>
                <c:pt idx="0">
                  <c:v>Degree of Opening (Ѳ)</c:v>
                </c:pt>
              </c:strCache>
            </c:strRef>
          </c:tx>
          <c:xVal>
            <c:numRef>
              <c:f>data!$L$9:$L$19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B-4E48-A3D8-E7DE294CA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39584"/>
        <c:axId val="306940160"/>
      </c:scatterChart>
      <c:valAx>
        <c:axId val="30693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Coefficient of discharge.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0160"/>
        <c:crosses val="autoZero"/>
        <c:crossBetween val="midCat"/>
      </c:valAx>
      <c:valAx>
        <c:axId val="30694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</a:t>
                </a:r>
                <a:r>
                  <a:rPr lang="en-GB" baseline="0"/>
                  <a:t> of Opening of  Valve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395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62817147899"/>
          <c:y val="5.1400554097404495E-2"/>
          <c:w val="0.59981014873140714"/>
          <c:h val="0.734448089822104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data!$K$8</c:f>
              <c:strCache>
                <c:ptCount val="1"/>
                <c:pt idx="0">
                  <c:v>Degree of Opening (Ѳ)</c:v>
                </c:pt>
              </c:strCache>
            </c:strRef>
          </c:tx>
          <c:x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xVal>
          <c:y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63-4ADF-86B3-66D2A812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41888"/>
        <c:axId val="306942464"/>
      </c:scatterChart>
      <c:valAx>
        <c:axId val="30694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Volumetric Flow Across Valve.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306942464"/>
        <c:crosses val="autoZero"/>
        <c:crossBetween val="midCat"/>
      </c:valAx>
      <c:valAx>
        <c:axId val="306942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1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83055555555568"/>
          <c:y val="0.45351159230096333"/>
          <c:w val="0.21502777777777801"/>
          <c:h val="0.2179764508603093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62817147899"/>
          <c:y val="0.19480351414406497"/>
          <c:w val="0.56054615048119005"/>
          <c:h val="0.59104512977544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data!$K$8</c:f>
              <c:strCache>
                <c:ptCount val="1"/>
                <c:pt idx="0">
                  <c:v>Degree of Opening (Ѳ)</c:v>
                </c:pt>
              </c:strCache>
            </c:strRef>
          </c:tx>
          <c:xVal>
            <c:numRef>
              <c:f>data!$B$29:$B$39</c:f>
              <c:numCache>
                <c:formatCode>General</c:formatCode>
                <c:ptCount val="1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</c:numCache>
            </c:numRef>
          </c:xVal>
          <c:y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6-428F-9942-1F3B9B026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44192"/>
        <c:axId val="306944768"/>
      </c:scatterChart>
      <c:valAx>
        <c:axId val="306944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Lenght Transverse by ball</a:t>
                </a:r>
                <a:r>
                  <a:rPr lang="en-GB" baseline="0"/>
                  <a:t> valve(mm).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4768"/>
        <c:crosses val="autoZero"/>
        <c:crossBetween val="midCat"/>
      </c:valAx>
      <c:valAx>
        <c:axId val="3069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4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219444444444592"/>
          <c:y val="0.31225029163021339"/>
          <c:w val="0.25113888888888902"/>
          <c:h val="0.3013097841936437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data!$V$28</c:f>
              <c:strCache>
                <c:ptCount val="1"/>
                <c:pt idx="0">
                  <c:v>Compressibility Factor(Z)
(m2/N)</c:v>
                </c:pt>
              </c:strCache>
            </c:strRef>
          </c:tx>
          <c:xVal>
            <c:numRef>
              <c:f>data!$C$29:$C$39</c:f>
              <c:numCache>
                <c:formatCode>0.00</c:formatCode>
                <c:ptCount val="11"/>
                <c:pt idx="0">
                  <c:v>156.10517071872343</c:v>
                </c:pt>
                <c:pt idx="1">
                  <c:v>117.33753108306638</c:v>
                </c:pt>
                <c:pt idx="2">
                  <c:v>78.944004923733686</c:v>
                </c:pt>
                <c:pt idx="3">
                  <c:v>53.021583404649583</c:v>
                </c:pt>
                <c:pt idx="4">
                  <c:v>35.550977183994135</c:v>
                </c:pt>
                <c:pt idx="5">
                  <c:v>23.804822949744704</c:v>
                </c:pt>
                <c:pt idx="6">
                  <c:v>15.928720862680565</c:v>
                </c:pt>
                <c:pt idx="7">
                  <c:v>10.66026741811644</c:v>
                </c:pt>
                <c:pt idx="8">
                  <c:v>7.1412675270331363</c:v>
                </c:pt>
                <c:pt idx="9">
                  <c:v>4.791169950366359</c:v>
                </c:pt>
                <c:pt idx="10">
                  <c:v>3.2200444806832014</c:v>
                </c:pt>
              </c:numCache>
            </c:numRef>
          </c:xVal>
          <c:yVal>
            <c:numRef>
              <c:f>data!$V$29:$V$39</c:f>
              <c:numCache>
                <c:formatCode>General</c:formatCode>
                <c:ptCount val="11"/>
                <c:pt idx="0">
                  <c:v>1.000024055809478</c:v>
                </c:pt>
                <c:pt idx="1">
                  <c:v>0.90069853946983158</c:v>
                </c:pt>
                <c:pt idx="2">
                  <c:v>0.90632908721995109</c:v>
                </c:pt>
                <c:pt idx="3">
                  <c:v>0.91356835715152129</c:v>
                </c:pt>
                <c:pt idx="4">
                  <c:v>0.92242458152542761</c:v>
                </c:pt>
                <c:pt idx="5">
                  <c:v>0.93262300384735941</c:v>
                </c:pt>
                <c:pt idx="6">
                  <c:v>0.94358025878025564</c:v>
                </c:pt>
                <c:pt idx="7">
                  <c:v>0.95450963636488317</c:v>
                </c:pt>
                <c:pt idx="8">
                  <c:v>0.96463226090175858</c:v>
                </c:pt>
                <c:pt idx="9">
                  <c:v>0.97338394266952422</c:v>
                </c:pt>
                <c:pt idx="10">
                  <c:v>0.98051118384447078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37-48FC-8FE3-1A872EDA0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23584"/>
        <c:axId val="295724160"/>
      </c:scatterChart>
      <c:valAx>
        <c:axId val="295723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density</a:t>
                </a:r>
                <a:r>
                  <a:rPr lang="en-GB" baseline="0"/>
                  <a:t> of Gas (kg/m</a:t>
                </a:r>
                <a:r>
                  <a:rPr lang="en-GB" baseline="30000"/>
                  <a:t>3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24160"/>
        <c:crosses val="autoZero"/>
        <c:crossBetween val="midCat"/>
      </c:valAx>
      <c:valAx>
        <c:axId val="295724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Compresibility Factor 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7235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data!$V$28</c:f>
              <c:strCache>
                <c:ptCount val="1"/>
                <c:pt idx="0">
                  <c:v>Compressibility Factor(Z)
(m2/N)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data!$V$29:$V$39</c:f>
              <c:numCache>
                <c:formatCode>General</c:formatCode>
                <c:ptCount val="11"/>
                <c:pt idx="0">
                  <c:v>1.000024055809478</c:v>
                </c:pt>
                <c:pt idx="1">
                  <c:v>0.90069853946983158</c:v>
                </c:pt>
                <c:pt idx="2">
                  <c:v>0.90632908721995109</c:v>
                </c:pt>
                <c:pt idx="3">
                  <c:v>0.91356835715152129</c:v>
                </c:pt>
                <c:pt idx="4">
                  <c:v>0.92242458152542761</c:v>
                </c:pt>
                <c:pt idx="5">
                  <c:v>0.93262300384735941</c:v>
                </c:pt>
                <c:pt idx="6">
                  <c:v>0.94358025878025564</c:v>
                </c:pt>
                <c:pt idx="7">
                  <c:v>0.95450963636488317</c:v>
                </c:pt>
                <c:pt idx="8">
                  <c:v>0.96463226090175858</c:v>
                </c:pt>
                <c:pt idx="9">
                  <c:v>0.97338394266952422</c:v>
                </c:pt>
                <c:pt idx="10">
                  <c:v>0.98051118384447078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A3-4DC0-B887-9117EEC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25888"/>
        <c:axId val="295726464"/>
      </c:scatterChart>
      <c:valAx>
        <c:axId val="29572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Diffrential 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26464"/>
        <c:crosses val="autoZero"/>
        <c:crossBetween val="midCat"/>
      </c:valAx>
      <c:valAx>
        <c:axId val="295726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Compressibility Factor (Z)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725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data!$W$28</c:f>
              <c:strCache>
                <c:ptCount val="1"/>
                <c:pt idx="0">
                  <c:v>Expected closing Torque
 (Nm)</c:v>
                </c:pt>
              </c:strCache>
            </c:strRef>
          </c:tx>
          <c:xVal>
            <c:numRef>
              <c:f>data!$F$29:$F$39</c:f>
              <c:numCache>
                <c:formatCode>0.00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data!$W$29:$W$39</c:f>
              <c:numCache>
                <c:formatCode>General</c:formatCode>
                <c:ptCount val="11"/>
                <c:pt idx="0">
                  <c:v>0</c:v>
                </c:pt>
                <c:pt idx="1">
                  <c:v>56987202.412048139</c:v>
                </c:pt>
                <c:pt idx="2">
                  <c:v>55669694.737119935</c:v>
                </c:pt>
                <c:pt idx="3">
                  <c:v>37102740.503529467</c:v>
                </c:pt>
                <c:pt idx="4">
                  <c:v>19070125.537759688</c:v>
                </c:pt>
                <c:pt idx="5">
                  <c:v>9597954.3098641168</c:v>
                </c:pt>
                <c:pt idx="6">
                  <c:v>3865046.8609301583</c:v>
                </c:pt>
                <c:pt idx="7">
                  <c:v>1311070.7312318117</c:v>
                </c:pt>
                <c:pt idx="8">
                  <c:v>307579.476742275</c:v>
                </c:pt>
                <c:pt idx="9">
                  <c:v>57348.509504199763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2E-429B-A190-9D01FC70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28192"/>
        <c:axId val="295728768"/>
      </c:scatterChart>
      <c:valAx>
        <c:axId val="29572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coefficient of discharge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28768"/>
        <c:crosses val="autoZero"/>
        <c:crossBetween val="midCat"/>
      </c:valAx>
      <c:valAx>
        <c:axId val="295728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Torque (n/m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728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30-4385-8308-C6B4878CD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30496"/>
        <c:axId val="297115648"/>
      </c:scatterChart>
      <c:valAx>
        <c:axId val="29573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7115648"/>
        <c:crosses val="autoZero"/>
        <c:crossBetween val="midCat"/>
      </c:valAx>
      <c:valAx>
        <c:axId val="297115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Opening Area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3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7781820734518143E-2"/>
          <c:y val="3.5385862808338886E-2"/>
          <c:w val="0.72929253550146622"/>
          <c:h val="0.9006489443288558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[1]Sheet1!$C$9</c:f>
              <c:strCache>
                <c:ptCount val="1"/>
                <c:pt idx="0">
                  <c:v>Valve Diameter (inches)</c:v>
                </c:pt>
              </c:strCache>
            </c:strRef>
          </c:tx>
          <c:invertIfNegative val="0"/>
          <c:val>
            <c:numRef>
              <c:f>[1]Sheet1!$C$10:$C$18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9-4A44-8227-BBB599FD984E}"/>
            </c:ext>
          </c:extLst>
        </c:ser>
        <c:ser>
          <c:idx val="1"/>
          <c:order val="1"/>
          <c:tx>
            <c:strRef>
              <c:f>[1]Sheet1!$D$9</c:f>
              <c:strCache>
                <c:ptCount val="1"/>
                <c:pt idx="0">
                  <c:v>time of closure (s)</c:v>
                </c:pt>
              </c:strCache>
            </c:strRef>
          </c:tx>
          <c:invertIfNegative val="0"/>
          <c:val>
            <c:numRef>
              <c:f>[1]Sheet1!$D$10:$D$18</c:f>
              <c:numCache>
                <c:formatCode>General</c:formatCode>
                <c:ptCount val="9"/>
                <c:pt idx="0">
                  <c:v>1.07</c:v>
                </c:pt>
                <c:pt idx="1">
                  <c:v>2.14</c:v>
                </c:pt>
                <c:pt idx="2">
                  <c:v>4.29</c:v>
                </c:pt>
                <c:pt idx="3">
                  <c:v>6.43</c:v>
                </c:pt>
                <c:pt idx="4">
                  <c:v>10.72</c:v>
                </c:pt>
                <c:pt idx="5">
                  <c:v>12.86</c:v>
                </c:pt>
                <c:pt idx="6">
                  <c:v>17.149999999999999</c:v>
                </c:pt>
                <c:pt idx="7">
                  <c:v>21.44</c:v>
                </c:pt>
                <c:pt idx="8">
                  <c:v>25.73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29-4A44-8227-BBB599FD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6334976"/>
        <c:axId val="297117376"/>
        <c:axId val="0"/>
      </c:bar3DChart>
      <c:catAx>
        <c:axId val="166334976"/>
        <c:scaling>
          <c:orientation val="minMax"/>
        </c:scaling>
        <c:delete val="0"/>
        <c:axPos val="b"/>
        <c:majorTickMark val="out"/>
        <c:minorTickMark val="none"/>
        <c:tickLblPos val="nextTo"/>
        <c:crossAx val="297117376"/>
        <c:crosses val="autoZero"/>
        <c:auto val="1"/>
        <c:lblAlgn val="ctr"/>
        <c:lblOffset val="100"/>
        <c:noMultiLvlLbl val="0"/>
      </c:catAx>
      <c:valAx>
        <c:axId val="2971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34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2527550505695"/>
          <c:y val="0.41608775022525168"/>
          <c:w val="0.22534910476457901"/>
          <c:h val="0.110345771995891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8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7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520700</xdr:colOff>
      <xdr:row>3</xdr:row>
      <xdr:rowOff>0</xdr:rowOff>
    </xdr:from>
    <xdr:to>
      <xdr:col>11</xdr:col>
      <xdr:colOff>330200</xdr:colOff>
      <xdr:row>5</xdr:row>
      <xdr:rowOff>38100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Populate tables</a:t>
          </a:r>
        </a:p>
      </xdr:txBody>
    </xdr:sp>
    <xdr:clientData fPrintsWithSheet="0"/>
  </xdr:twoCellAnchor>
  <xdr:twoCellAnchor editAs="oneCell">
    <xdr:from>
      <xdr:col>1</xdr:col>
      <xdr:colOff>12700</xdr:colOff>
      <xdr:row>0</xdr:row>
      <xdr:rowOff>63500</xdr:rowOff>
    </xdr:from>
    <xdr:to>
      <xdr:col>7</xdr:col>
      <xdr:colOff>132840</xdr:colOff>
      <xdr:row>0</xdr:row>
      <xdr:rowOff>1144814</xdr:rowOff>
    </xdr:to>
    <xdr:pic>
      <xdr:nvPicPr>
        <xdr:cNvPr id="3" name="Picture 2" descr="banner_shutdownvalve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63500"/>
          <a:ext cx="7562340" cy="1085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3</xdr:row>
          <xdr:rowOff>0</xdr:rowOff>
        </xdr:from>
        <xdr:to>
          <xdr:col>11</xdr:col>
          <xdr:colOff>251460</xdr:colOff>
          <xdr:row>5</xdr:row>
          <xdr:rowOff>30480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291817</xdr:colOff>
      <xdr:row>7</xdr:row>
      <xdr:rowOff>42552</xdr:rowOff>
    </xdr:from>
    <xdr:to>
      <xdr:col>9</xdr:col>
      <xdr:colOff>256204</xdr:colOff>
      <xdr:row>25</xdr:row>
      <xdr:rowOff>26624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149740</xdr:colOff>
      <xdr:row>7</xdr:row>
      <xdr:rowOff>42552</xdr:rowOff>
    </xdr:from>
    <xdr:to>
      <xdr:col>30</xdr:col>
      <xdr:colOff>114128</xdr:colOff>
      <xdr:row>25</xdr:row>
      <xdr:rowOff>26624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291818</xdr:colOff>
      <xdr:row>28</xdr:row>
      <xdr:rowOff>94012</xdr:rowOff>
    </xdr:from>
    <xdr:to>
      <xdr:col>9</xdr:col>
      <xdr:colOff>256205</xdr:colOff>
      <xdr:row>46</xdr:row>
      <xdr:rowOff>44858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532982</xdr:colOff>
      <xdr:row>28</xdr:row>
      <xdr:rowOff>138836</xdr:rowOff>
    </xdr:from>
    <xdr:to>
      <xdr:col>20</xdr:col>
      <xdr:colOff>513058</xdr:colOff>
      <xdr:row>46</xdr:row>
      <xdr:rowOff>89682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207566</xdr:colOff>
      <xdr:row>97</xdr:row>
      <xdr:rowOff>134471</xdr:rowOff>
    </xdr:from>
    <xdr:to>
      <xdr:col>10</xdr:col>
      <xdr:colOff>403411</xdr:colOff>
      <xdr:row>116</xdr:row>
      <xdr:rowOff>159904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177542</xdr:colOff>
      <xdr:row>98</xdr:row>
      <xdr:rowOff>15921</xdr:rowOff>
    </xdr:from>
    <xdr:to>
      <xdr:col>23</xdr:col>
      <xdr:colOff>212911</xdr:colOff>
      <xdr:row>117</xdr:row>
      <xdr:rowOff>156883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459441</xdr:colOff>
      <xdr:row>50</xdr:row>
      <xdr:rowOff>22412</xdr:rowOff>
    </xdr:from>
    <xdr:to>
      <xdr:col>10</xdr:col>
      <xdr:colOff>455278</xdr:colOff>
      <xdr:row>68</xdr:row>
      <xdr:rowOff>143515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479685</xdr:colOff>
      <xdr:row>7</xdr:row>
      <xdr:rowOff>42552</xdr:rowOff>
    </xdr:from>
    <xdr:to>
      <xdr:col>19</xdr:col>
      <xdr:colOff>444072</xdr:colOff>
      <xdr:row>25</xdr:row>
      <xdr:rowOff>26624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373857</xdr:colOff>
      <xdr:row>29</xdr:row>
      <xdr:rowOff>24974</xdr:rowOff>
    </xdr:from>
    <xdr:to>
      <xdr:col>32</xdr:col>
      <xdr:colOff>78442</xdr:colOff>
      <xdr:row>46</xdr:row>
      <xdr:rowOff>168089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592994</xdr:colOff>
      <xdr:row>97</xdr:row>
      <xdr:rowOff>134471</xdr:rowOff>
    </xdr:from>
    <xdr:to>
      <xdr:col>36</xdr:col>
      <xdr:colOff>0</xdr:colOff>
      <xdr:row>117</xdr:row>
      <xdr:rowOff>78440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42356</xdr:colOff>
      <xdr:row>71</xdr:row>
      <xdr:rowOff>105790</xdr:rowOff>
    </xdr:from>
    <xdr:to>
      <xdr:col>21</xdr:col>
      <xdr:colOff>429789</xdr:colOff>
      <xdr:row>89</xdr:row>
      <xdr:rowOff>175560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14942</xdr:colOff>
      <xdr:row>0</xdr:row>
      <xdr:rowOff>44824</xdr:rowOff>
    </xdr:from>
    <xdr:to>
      <xdr:col>11</xdr:col>
      <xdr:colOff>181400</xdr:colOff>
      <xdr:row>0</xdr:row>
      <xdr:rowOff>1129948</xdr:rowOff>
    </xdr:to>
    <xdr:pic>
      <xdr:nvPicPr>
        <xdr:cNvPr id="20" name="Picture 19" descr="banner_shutdownvalve.pn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2" y="44824"/>
          <a:ext cx="7562340" cy="1085124"/>
        </a:xfrm>
        <a:prstGeom prst="rect">
          <a:avLst/>
        </a:prstGeom>
      </xdr:spPr>
    </xdr:pic>
    <xdr:clientData/>
  </xdr:twoCellAnchor>
  <xdr:twoCellAnchor>
    <xdr:from>
      <xdr:col>12</xdr:col>
      <xdr:colOff>11204</xdr:colOff>
      <xdr:row>50</xdr:row>
      <xdr:rowOff>33618</xdr:rowOff>
    </xdr:from>
    <xdr:to>
      <xdr:col>22</xdr:col>
      <xdr:colOff>67235</xdr:colOff>
      <xdr:row>69</xdr:row>
      <xdr:rowOff>67236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168088</xdr:colOff>
      <xdr:row>50</xdr:row>
      <xdr:rowOff>33617</xdr:rowOff>
    </xdr:from>
    <xdr:to>
      <xdr:col>34</xdr:col>
      <xdr:colOff>201706</xdr:colOff>
      <xdr:row>69</xdr:row>
      <xdr:rowOff>44823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8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</xdr:colOff>
      <xdr:row>4</xdr:row>
      <xdr:rowOff>160020</xdr:rowOff>
    </xdr:from>
    <xdr:to>
      <xdr:col>16</xdr:col>
      <xdr:colOff>307340</xdr:colOff>
      <xdr:row>19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</xdr:row>
      <xdr:rowOff>160020</xdr:rowOff>
    </xdr:from>
    <xdr:to>
      <xdr:col>24</xdr:col>
      <xdr:colOff>368300</xdr:colOff>
      <xdr:row>19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670560</xdr:colOff>
      <xdr:row>22</xdr:row>
      <xdr:rowOff>17780</xdr:rowOff>
    </xdr:from>
    <xdr:to>
      <xdr:col>8</xdr:col>
      <xdr:colOff>342900</xdr:colOff>
      <xdr:row>38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12701</xdr:colOff>
      <xdr:row>43</xdr:row>
      <xdr:rowOff>12700</xdr:rowOff>
    </xdr:from>
    <xdr:to>
      <xdr:col>8</xdr:col>
      <xdr:colOff>342901</xdr:colOff>
      <xdr:row>58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17780</xdr:colOff>
      <xdr:row>43</xdr:row>
      <xdr:rowOff>20320</xdr:rowOff>
    </xdr:from>
    <xdr:to>
      <xdr:col>16</xdr:col>
      <xdr:colOff>190500</xdr:colOff>
      <xdr:row>58</xdr:row>
      <xdr:rowOff>20320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7620</xdr:colOff>
      <xdr:row>42</xdr:row>
      <xdr:rowOff>170180</xdr:rowOff>
    </xdr:from>
    <xdr:to>
      <xdr:col>24</xdr:col>
      <xdr:colOff>375920</xdr:colOff>
      <xdr:row>57</xdr:row>
      <xdr:rowOff>170180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63</xdr:row>
      <xdr:rowOff>25400</xdr:rowOff>
    </xdr:from>
    <xdr:to>
      <xdr:col>8</xdr:col>
      <xdr:colOff>304800</xdr:colOff>
      <xdr:row>78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10160</xdr:colOff>
      <xdr:row>63</xdr:row>
      <xdr:rowOff>20320</xdr:rowOff>
    </xdr:from>
    <xdr:to>
      <xdr:col>16</xdr:col>
      <xdr:colOff>228600</xdr:colOff>
      <xdr:row>78</xdr:row>
      <xdr:rowOff>20320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12700</xdr:colOff>
      <xdr:row>62</xdr:row>
      <xdr:rowOff>165100</xdr:rowOff>
    </xdr:from>
    <xdr:to>
      <xdr:col>24</xdr:col>
      <xdr:colOff>317500</xdr:colOff>
      <xdr:row>77</xdr:row>
      <xdr:rowOff>165100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5080</xdr:colOff>
      <xdr:row>83</xdr:row>
      <xdr:rowOff>27940</xdr:rowOff>
    </xdr:from>
    <xdr:to>
      <xdr:col>8</xdr:col>
      <xdr:colOff>254000</xdr:colOff>
      <xdr:row>100</xdr:row>
      <xdr:rowOff>134620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670560</xdr:colOff>
      <xdr:row>83</xdr:row>
      <xdr:rowOff>35560</xdr:rowOff>
    </xdr:from>
    <xdr:to>
      <xdr:col>16</xdr:col>
      <xdr:colOff>215900</xdr:colOff>
      <xdr:row>100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25401</xdr:colOff>
      <xdr:row>83</xdr:row>
      <xdr:rowOff>12700</xdr:rowOff>
    </xdr:from>
    <xdr:to>
      <xdr:col>24</xdr:col>
      <xdr:colOff>317501</xdr:colOff>
      <xdr:row>100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38100</xdr:colOff>
      <xdr:row>0</xdr:row>
      <xdr:rowOff>50800</xdr:rowOff>
    </xdr:from>
    <xdr:to>
      <xdr:col>10</xdr:col>
      <xdr:colOff>243965</xdr:colOff>
      <xdr:row>0</xdr:row>
      <xdr:rowOff>1135924</xdr:rowOff>
    </xdr:to>
    <xdr:pic>
      <xdr:nvPicPr>
        <xdr:cNvPr id="17" name="Picture 16" descr="banner_shutdownvalve.p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0800"/>
          <a:ext cx="7562340" cy="1085124"/>
        </a:xfrm>
        <a:prstGeom prst="rect">
          <a:avLst/>
        </a:prstGeom>
      </xdr:spPr>
    </xdr:pic>
    <xdr:clientData/>
  </xdr:twoCellAnchor>
  <xdr:twoCellAnchor>
    <xdr:from>
      <xdr:col>17</xdr:col>
      <xdr:colOff>36195</xdr:colOff>
      <xdr:row>42</xdr:row>
      <xdr:rowOff>179705</xdr:rowOff>
    </xdr:from>
    <xdr:to>
      <xdr:col>24</xdr:col>
      <xdr:colOff>404495</xdr:colOff>
      <xdr:row>57</xdr:row>
      <xdr:rowOff>179705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57150</xdr:colOff>
      <xdr:row>121</xdr:row>
      <xdr:rowOff>152400</xdr:rowOff>
    </xdr:from>
    <xdr:to>
      <xdr:col>16</xdr:col>
      <xdr:colOff>561975</xdr:colOff>
      <xdr:row>143</xdr:row>
      <xdr:rowOff>123825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varying%20diam%20of%20valve%20vs.%20time%20of%20closu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9">
          <cell r="C9" t="str">
            <v>Valve Diameter (inches)</v>
          </cell>
          <cell r="D9" t="str">
            <v>time of closure (s)</v>
          </cell>
        </row>
        <row r="10">
          <cell r="C10">
            <v>1</v>
          </cell>
          <cell r="D10">
            <v>1.07</v>
          </cell>
        </row>
        <row r="11">
          <cell r="C11">
            <v>2</v>
          </cell>
          <cell r="D11">
            <v>2.14</v>
          </cell>
        </row>
        <row r="12">
          <cell r="C12">
            <v>4</v>
          </cell>
          <cell r="D12">
            <v>4.29</v>
          </cell>
        </row>
        <row r="13">
          <cell r="C13">
            <v>6</v>
          </cell>
          <cell r="D13">
            <v>6.43</v>
          </cell>
        </row>
        <row r="14">
          <cell r="C14">
            <v>10</v>
          </cell>
          <cell r="D14">
            <v>10.72</v>
          </cell>
        </row>
        <row r="15">
          <cell r="C15">
            <v>12</v>
          </cell>
          <cell r="D15">
            <v>12.86</v>
          </cell>
        </row>
        <row r="16">
          <cell r="C16">
            <v>16</v>
          </cell>
          <cell r="D16">
            <v>17.149999999999999</v>
          </cell>
        </row>
        <row r="17">
          <cell r="C17">
            <v>20</v>
          </cell>
          <cell r="D17">
            <v>21.44</v>
          </cell>
        </row>
        <row r="18">
          <cell r="C18">
            <v>24</v>
          </cell>
          <cell r="D18">
            <v>25.73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7"/>
  <sheetViews>
    <sheetView topLeftCell="A15" zoomScale="55" zoomScaleNormal="55" workbookViewId="0">
      <selection activeCell="D45" sqref="D45"/>
    </sheetView>
  </sheetViews>
  <sheetFormatPr defaultColWidth="8.88671875" defaultRowHeight="14.4" x14ac:dyDescent="0.3"/>
  <cols>
    <col min="1" max="1" width="0.6640625" style="11" customWidth="1"/>
    <col min="2" max="2" width="10" style="11" bestFit="1" customWidth="1"/>
    <col min="3" max="3" width="8.88671875" style="11"/>
    <col min="4" max="4" width="19.44140625" style="11" customWidth="1"/>
    <col min="5" max="5" width="16" style="11" bestFit="1" customWidth="1"/>
    <col min="6" max="6" width="27.44140625" style="1" customWidth="1"/>
    <col min="7" max="7" width="15.88671875" style="11" customWidth="1"/>
    <col min="8" max="8" width="18.44140625" style="11" customWidth="1"/>
    <col min="9" max="9" width="13.44140625" style="11" bestFit="1" customWidth="1"/>
    <col min="10" max="10" width="19.44140625" style="11" customWidth="1"/>
    <col min="11" max="11" width="18.44140625" style="11" bestFit="1" customWidth="1"/>
    <col min="12" max="12" width="19" style="11" customWidth="1"/>
    <col min="13" max="13" width="17.88671875" style="11" customWidth="1"/>
    <col min="14" max="14" width="24" style="11" customWidth="1"/>
    <col min="15" max="15" width="16.109375" style="11" customWidth="1"/>
    <col min="16" max="16" width="17.44140625" style="11" customWidth="1"/>
    <col min="17" max="17" width="14" style="11" customWidth="1"/>
    <col min="18" max="18" width="14.44140625" style="11" customWidth="1"/>
    <col min="19" max="19" width="16.33203125" style="11" customWidth="1"/>
    <col min="20" max="20" width="16.88671875" style="11" customWidth="1"/>
    <col min="21" max="21" width="16.109375" style="11" customWidth="1"/>
    <col min="22" max="22" width="17" style="11" customWidth="1"/>
    <col min="23" max="23" width="15.33203125" style="11" customWidth="1"/>
    <col min="24" max="24" width="20.109375" style="11" customWidth="1"/>
    <col min="25" max="16384" width="8.88671875" style="11"/>
  </cols>
  <sheetData>
    <row r="1" spans="1:24" ht="92.1" customHeight="1" x14ac:dyDescent="0.3">
      <c r="A1" s="9"/>
      <c r="B1" s="9"/>
      <c r="C1" s="9"/>
      <c r="D1" s="9"/>
      <c r="E1" s="9"/>
      <c r="F1" s="10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 spans="1:24" x14ac:dyDescent="0.3">
      <c r="C2" s="11" t="s">
        <v>0</v>
      </c>
      <c r="G2" s="12" t="s">
        <v>20</v>
      </c>
      <c r="H2" s="13">
        <v>75</v>
      </c>
    </row>
    <row r="3" spans="1:24" ht="15.6" x14ac:dyDescent="0.35">
      <c r="C3" s="14" t="s">
        <v>2</v>
      </c>
      <c r="G3" s="12" t="s">
        <v>34</v>
      </c>
      <c r="H3" s="13">
        <v>205</v>
      </c>
      <c r="K3" s="15"/>
    </row>
    <row r="4" spans="1:24" ht="16.2" x14ac:dyDescent="0.3">
      <c r="G4" s="16" t="s">
        <v>35</v>
      </c>
      <c r="H4" s="45">
        <v>35</v>
      </c>
      <c r="K4" s="15"/>
    </row>
    <row r="5" spans="1:24" x14ac:dyDescent="0.3">
      <c r="G5" s="18" t="s">
        <v>19</v>
      </c>
      <c r="H5" s="13">
        <v>1.95E-2</v>
      </c>
      <c r="K5" s="15"/>
      <c r="L5" s="14"/>
    </row>
    <row r="6" spans="1:24" x14ac:dyDescent="0.3">
      <c r="B6" s="76" t="s">
        <v>13</v>
      </c>
      <c r="C6" s="76"/>
      <c r="D6" s="76"/>
      <c r="G6" s="18" t="s">
        <v>31</v>
      </c>
      <c r="H6" s="46">
        <v>20</v>
      </c>
      <c r="K6" s="15"/>
      <c r="L6" s="17"/>
    </row>
    <row r="7" spans="1:24" ht="15" thickBot="1" x14ac:dyDescent="0.35">
      <c r="B7" s="75"/>
      <c r="C7" s="75"/>
      <c r="D7" s="75"/>
      <c r="M7" s="17"/>
      <c r="N7" s="19"/>
      <c r="O7" s="19"/>
      <c r="P7" s="19"/>
      <c r="Q7" s="19"/>
      <c r="R7" s="19"/>
      <c r="S7" s="19"/>
    </row>
    <row r="8" spans="1:24" ht="44.25" customHeight="1" thickBot="1" x14ac:dyDescent="0.35">
      <c r="B8" s="47" t="s">
        <v>1</v>
      </c>
      <c r="C8" s="47" t="s">
        <v>36</v>
      </c>
      <c r="D8" s="47" t="s">
        <v>6</v>
      </c>
      <c r="E8" s="47" t="s">
        <v>37</v>
      </c>
      <c r="F8" s="48" t="s">
        <v>7</v>
      </c>
      <c r="G8" s="47" t="s">
        <v>8</v>
      </c>
      <c r="H8" s="47" t="s">
        <v>38</v>
      </c>
      <c r="I8" s="47" t="s">
        <v>9</v>
      </c>
      <c r="J8" s="47" t="s">
        <v>39</v>
      </c>
      <c r="K8" s="47" t="s">
        <v>18</v>
      </c>
      <c r="L8" s="47" t="s">
        <v>40</v>
      </c>
      <c r="M8" s="19"/>
      <c r="N8" s="19"/>
      <c r="O8" s="19"/>
      <c r="P8" s="19"/>
      <c r="Q8" s="19"/>
      <c r="R8" s="19"/>
      <c r="S8" s="19"/>
    </row>
    <row r="9" spans="1:24" x14ac:dyDescent="0.3">
      <c r="A9" s="11" t="s">
        <v>12</v>
      </c>
      <c r="B9" s="49">
        <f>IF(ISNUMBER(B8),$H$2/5 + B8, 0)</f>
        <v>0</v>
      </c>
      <c r="C9" s="22">
        <f>PI()*$H$2*$H$2*2</f>
        <v>35342.917352885175</v>
      </c>
      <c r="D9" s="50">
        <f>(((($H$2-((2*$H$2-B9)/2))/360)))</f>
        <v>0</v>
      </c>
      <c r="E9" s="23">
        <f>ACOS(D9)*180/PI()</f>
        <v>90</v>
      </c>
      <c r="F9" s="52">
        <f>E9*C9</f>
        <v>3180862.5617596656</v>
      </c>
      <c r="G9" s="22">
        <f>$H$2-((2*$H$2-B9)/2)</f>
        <v>0</v>
      </c>
      <c r="H9" s="49">
        <f>SQRT(($H$2)^2-($H$2-((2*$H$2-B9)/2))^2)</f>
        <v>75</v>
      </c>
      <c r="I9" s="24">
        <f>H9*G9</f>
        <v>0</v>
      </c>
      <c r="J9" s="53">
        <f>F9-I9</f>
        <v>3180862.5617596656</v>
      </c>
      <c r="K9" s="22">
        <v>90</v>
      </c>
      <c r="L9" s="49">
        <v>1</v>
      </c>
      <c r="M9" s="25"/>
      <c r="N9" s="19"/>
      <c r="O9" s="19"/>
      <c r="P9" s="19"/>
      <c r="Q9" s="19"/>
      <c r="R9" s="19"/>
      <c r="S9" s="19"/>
    </row>
    <row r="10" spans="1:24" x14ac:dyDescent="0.3">
      <c r="A10" s="11" t="s">
        <v>12</v>
      </c>
      <c r="B10" s="49">
        <f t="shared" ref="B10:B19" si="0">IF(ISNUMBER(B9),$H$2/5 + B9, 0)</f>
        <v>15</v>
      </c>
      <c r="C10" s="22">
        <f t="shared" ref="C10:C19" si="1">PI()*$H$2*$H$2*2</f>
        <v>35342.917352885175</v>
      </c>
      <c r="D10" s="51">
        <v>2.0833333333333332E-2</v>
      </c>
      <c r="E10" s="23">
        <f t="shared" ref="E10:E19" si="2">ACOS(D10)*180/PI()</f>
        <v>88.806251562858918</v>
      </c>
      <c r="F10" s="52">
        <f t="shared" ref="F10:F19" si="3">E10*C10</f>
        <v>3138672.0094056525</v>
      </c>
      <c r="G10" s="22">
        <f t="shared" ref="G10:G19" si="4">$H$2-((2*$H$2-B10)/2)</f>
        <v>7.5</v>
      </c>
      <c r="H10" s="49">
        <f t="shared" ref="H10:H19" si="5">SQRT(($H$2)^2-($H$2-((2*$H$2-B10)/2))^2)</f>
        <v>74.624057782996502</v>
      </c>
      <c r="I10" s="24">
        <f t="shared" ref="I10:I19" si="6">H10*G10</f>
        <v>559.68043337247377</v>
      </c>
      <c r="J10" s="53">
        <f t="shared" ref="J10:J19" si="7">F10-I10</f>
        <v>3138112.32897228</v>
      </c>
      <c r="K10" s="26">
        <v>80</v>
      </c>
      <c r="L10" s="51">
        <v>0.9</v>
      </c>
      <c r="M10" s="25"/>
      <c r="N10" s="19"/>
      <c r="O10" s="19"/>
      <c r="P10" s="19"/>
      <c r="Q10" s="19"/>
      <c r="R10" s="19"/>
      <c r="S10" s="19"/>
    </row>
    <row r="11" spans="1:24" x14ac:dyDescent="0.3">
      <c r="A11" s="11" t="s">
        <v>12</v>
      </c>
      <c r="B11" s="49">
        <f t="shared" si="0"/>
        <v>30</v>
      </c>
      <c r="C11" s="22">
        <f t="shared" si="1"/>
        <v>35342.917352885175</v>
      </c>
      <c r="D11" s="51">
        <v>4.1666666666666664E-2</v>
      </c>
      <c r="E11" s="23">
        <f t="shared" si="2"/>
        <v>87.611984536731228</v>
      </c>
      <c r="F11" s="52">
        <f t="shared" si="3"/>
        <v>3096463.128603946</v>
      </c>
      <c r="G11" s="22">
        <f t="shared" si="4"/>
        <v>15</v>
      </c>
      <c r="H11" s="49">
        <f t="shared" si="5"/>
        <v>73.484692283495349</v>
      </c>
      <c r="I11" s="24">
        <f t="shared" si="6"/>
        <v>1102.2703842524302</v>
      </c>
      <c r="J11" s="53">
        <f t="shared" si="7"/>
        <v>3095360.8582196934</v>
      </c>
      <c r="K11" s="26">
        <v>70</v>
      </c>
      <c r="L11" s="51">
        <v>0.75</v>
      </c>
      <c r="M11" s="25"/>
      <c r="N11" s="19"/>
      <c r="O11" s="19"/>
      <c r="P11" s="19"/>
      <c r="Q11" s="19"/>
      <c r="R11" s="19"/>
      <c r="S11" s="19"/>
    </row>
    <row r="12" spans="1:24" x14ac:dyDescent="0.3">
      <c r="A12" s="11" t="s">
        <v>12</v>
      </c>
      <c r="B12" s="49">
        <f t="shared" si="0"/>
        <v>45</v>
      </c>
      <c r="C12" s="22">
        <f t="shared" si="1"/>
        <v>35342.917352885175</v>
      </c>
      <c r="D12" s="51">
        <v>6.25E-2</v>
      </c>
      <c r="E12" s="23">
        <f t="shared" si="2"/>
        <v>86.416678301528023</v>
      </c>
      <c r="F12" s="52">
        <f t="shared" si="3"/>
        <v>3054217.5191217707</v>
      </c>
      <c r="G12" s="22">
        <f t="shared" si="4"/>
        <v>22.5</v>
      </c>
      <c r="H12" s="49">
        <f t="shared" si="5"/>
        <v>71.545440106270917</v>
      </c>
      <c r="I12" s="24">
        <f t="shared" si="6"/>
        <v>1609.7724023910955</v>
      </c>
      <c r="J12" s="53">
        <f t="shared" si="7"/>
        <v>3052607.7467193794</v>
      </c>
      <c r="K12" s="27">
        <v>60</v>
      </c>
      <c r="L12" s="51">
        <v>0.57999999999999996</v>
      </c>
      <c r="M12" s="25"/>
      <c r="N12" s="19"/>
      <c r="O12" s="19"/>
      <c r="P12" s="19"/>
      <c r="Q12" s="19"/>
      <c r="R12" s="19"/>
      <c r="S12" s="19"/>
    </row>
    <row r="13" spans="1:24" x14ac:dyDescent="0.3">
      <c r="A13" s="11" t="s">
        <v>12</v>
      </c>
      <c r="B13" s="49">
        <f t="shared" si="0"/>
        <v>60</v>
      </c>
      <c r="C13" s="22">
        <f t="shared" si="1"/>
        <v>35342.917352885175</v>
      </c>
      <c r="D13" s="51">
        <v>8.3333333333333329E-2</v>
      </c>
      <c r="E13" s="23">
        <f t="shared" si="2"/>
        <v>85.219808152800852</v>
      </c>
      <c r="F13" s="52">
        <f t="shared" si="3"/>
        <v>3011916.6363731707</v>
      </c>
      <c r="G13" s="22">
        <f t="shared" si="4"/>
        <v>30</v>
      </c>
      <c r="H13" s="49">
        <f t="shared" si="5"/>
        <v>68.738635424337602</v>
      </c>
      <c r="I13" s="24">
        <f t="shared" si="6"/>
        <v>2062.159062730128</v>
      </c>
      <c r="J13" s="53">
        <f t="shared" si="7"/>
        <v>3009854.4773104405</v>
      </c>
      <c r="K13" s="27">
        <v>50</v>
      </c>
      <c r="L13" s="51">
        <v>0.4</v>
      </c>
      <c r="M13" s="25"/>
      <c r="N13" s="19"/>
      <c r="O13" s="19"/>
      <c r="P13" s="19"/>
      <c r="Q13" s="19"/>
      <c r="R13" s="19"/>
      <c r="S13" s="19"/>
    </row>
    <row r="14" spans="1:24" x14ac:dyDescent="0.3">
      <c r="A14" s="11" t="s">
        <v>12</v>
      </c>
      <c r="B14" s="49">
        <f t="shared" si="0"/>
        <v>75</v>
      </c>
      <c r="C14" s="22">
        <f t="shared" si="1"/>
        <v>35342.917352885175</v>
      </c>
      <c r="D14" s="51">
        <v>0.10416666666666667</v>
      </c>
      <c r="E14" s="23">
        <f t="shared" si="2"/>
        <v>84.020843203698689</v>
      </c>
      <c r="F14" s="52">
        <f t="shared" si="3"/>
        <v>2969541.7172680469</v>
      </c>
      <c r="G14" s="22">
        <f t="shared" si="4"/>
        <v>37.5</v>
      </c>
      <c r="H14" s="49">
        <f t="shared" si="5"/>
        <v>64.9519052838329</v>
      </c>
      <c r="I14" s="24">
        <f t="shared" si="6"/>
        <v>2435.696448143734</v>
      </c>
      <c r="J14" s="53">
        <f t="shared" si="7"/>
        <v>2967106.0208199034</v>
      </c>
      <c r="K14" s="27">
        <v>40</v>
      </c>
      <c r="L14" s="51">
        <v>0.3</v>
      </c>
      <c r="M14" s="25"/>
      <c r="N14" s="19"/>
      <c r="O14" s="19"/>
      <c r="P14" s="19"/>
      <c r="Q14" s="19"/>
      <c r="R14" s="19"/>
      <c r="S14" s="19"/>
    </row>
    <row r="15" spans="1:24" x14ac:dyDescent="0.3">
      <c r="A15" s="11" t="s">
        <v>12</v>
      </c>
      <c r="B15" s="49">
        <f t="shared" si="0"/>
        <v>90</v>
      </c>
      <c r="C15" s="22">
        <f t="shared" si="1"/>
        <v>35342.917352885175</v>
      </c>
      <c r="D15" s="51">
        <v>0.125</v>
      </c>
      <c r="E15" s="23">
        <f t="shared" si="2"/>
        <v>82.819244218541712</v>
      </c>
      <c r="F15" s="52">
        <f t="shared" si="3"/>
        <v>2927073.7036443329</v>
      </c>
      <c r="G15" s="22">
        <f t="shared" si="4"/>
        <v>45</v>
      </c>
      <c r="H15" s="49">
        <f t="shared" si="5"/>
        <v>60</v>
      </c>
      <c r="I15" s="24">
        <f t="shared" si="6"/>
        <v>2700</v>
      </c>
      <c r="J15" s="53">
        <f t="shared" si="7"/>
        <v>2924373.7036443329</v>
      </c>
      <c r="K15" s="27">
        <v>30</v>
      </c>
      <c r="L15" s="51">
        <v>0.2</v>
      </c>
      <c r="M15" s="25"/>
      <c r="N15" s="19"/>
      <c r="O15" s="19"/>
      <c r="P15" s="19"/>
      <c r="Q15" s="19"/>
      <c r="R15" s="19"/>
      <c r="S15" s="19"/>
    </row>
    <row r="16" spans="1:24" x14ac:dyDescent="0.3">
      <c r="A16" s="11" t="s">
        <v>12</v>
      </c>
      <c r="B16" s="49">
        <f t="shared" si="0"/>
        <v>105</v>
      </c>
      <c r="C16" s="22">
        <f t="shared" si="1"/>
        <v>35342.917352885175</v>
      </c>
      <c r="D16" s="51">
        <v>0.14583333333333334</v>
      </c>
      <c r="E16" s="23">
        <f t="shared" si="2"/>
        <v>81.614461352918667</v>
      </c>
      <c r="F16" s="52">
        <f t="shared" si="3"/>
        <v>2884493.1623964459</v>
      </c>
      <c r="G16" s="22">
        <f t="shared" si="4"/>
        <v>52.5</v>
      </c>
      <c r="H16" s="49">
        <f t="shared" si="5"/>
        <v>53.560713214071377</v>
      </c>
      <c r="I16" s="24">
        <f t="shared" si="6"/>
        <v>2811.9374437387473</v>
      </c>
      <c r="J16" s="53">
        <f t="shared" si="7"/>
        <v>2881681.2249527071</v>
      </c>
      <c r="K16" s="27">
        <v>20</v>
      </c>
      <c r="L16" s="51">
        <v>0.13</v>
      </c>
      <c r="M16" s="25"/>
      <c r="N16" s="19"/>
      <c r="O16" s="19"/>
      <c r="P16" s="19"/>
      <c r="Q16" s="19"/>
      <c r="R16" s="19"/>
      <c r="S16" s="19"/>
    </row>
    <row r="17" spans="1:24" x14ac:dyDescent="0.3">
      <c r="A17" s="11" t="s">
        <v>12</v>
      </c>
      <c r="B17" s="49">
        <f t="shared" si="0"/>
        <v>120</v>
      </c>
      <c r="C17" s="22">
        <f t="shared" si="1"/>
        <v>35342.917352885175</v>
      </c>
      <c r="D17" s="51">
        <v>0.1736111111111111</v>
      </c>
      <c r="E17" s="23">
        <f t="shared" si="2"/>
        <v>80.002156512432251</v>
      </c>
      <c r="F17" s="52">
        <f t="shared" si="3"/>
        <v>2827509.6056714775</v>
      </c>
      <c r="G17" s="22">
        <f t="shared" si="4"/>
        <v>60</v>
      </c>
      <c r="H17" s="49">
        <f t="shared" si="5"/>
        <v>45</v>
      </c>
      <c r="I17" s="24">
        <f t="shared" si="6"/>
        <v>2700</v>
      </c>
      <c r="J17" s="53">
        <f t="shared" si="7"/>
        <v>2824809.6056714775</v>
      </c>
      <c r="K17" s="27">
        <v>10</v>
      </c>
      <c r="L17" s="51">
        <v>0.08</v>
      </c>
      <c r="M17" s="25"/>
      <c r="N17" s="19"/>
      <c r="O17" s="19"/>
      <c r="P17" s="19"/>
      <c r="Q17" s="19"/>
      <c r="R17" s="19"/>
      <c r="S17" s="19"/>
    </row>
    <row r="18" spans="1:24" x14ac:dyDescent="0.3">
      <c r="A18" s="11" t="s">
        <v>12</v>
      </c>
      <c r="B18" s="49">
        <f t="shared" si="0"/>
        <v>135</v>
      </c>
      <c r="C18" s="22">
        <f t="shared" si="1"/>
        <v>35342.917352885175</v>
      </c>
      <c r="D18" s="51">
        <v>0.20833333333333334</v>
      </c>
      <c r="E18" s="23">
        <f t="shared" si="2"/>
        <v>77.975300819434182</v>
      </c>
      <c r="F18" s="52">
        <f t="shared" si="3"/>
        <v>2755874.6124276221</v>
      </c>
      <c r="G18" s="22">
        <f t="shared" si="4"/>
        <v>67.5</v>
      </c>
      <c r="H18" s="49">
        <f t="shared" si="5"/>
        <v>32.691742076555052</v>
      </c>
      <c r="I18" s="24">
        <f t="shared" si="6"/>
        <v>2206.6925901674658</v>
      </c>
      <c r="J18" s="53">
        <f t="shared" si="7"/>
        <v>2753667.9198374548</v>
      </c>
      <c r="K18" s="26">
        <v>5</v>
      </c>
      <c r="L18" s="51">
        <v>0.04</v>
      </c>
      <c r="M18" s="25"/>
      <c r="N18" s="19"/>
      <c r="O18" s="19"/>
      <c r="P18" s="19"/>
      <c r="Q18" s="19"/>
      <c r="R18" s="19"/>
      <c r="S18" s="19"/>
    </row>
    <row r="19" spans="1:24" x14ac:dyDescent="0.3">
      <c r="A19" s="11" t="s">
        <v>12</v>
      </c>
      <c r="B19" s="49">
        <f t="shared" si="0"/>
        <v>150</v>
      </c>
      <c r="C19" s="22">
        <f t="shared" si="1"/>
        <v>35342.917352885175</v>
      </c>
      <c r="D19" s="51">
        <v>0.20833333333333334</v>
      </c>
      <c r="E19" s="23">
        <f t="shared" si="2"/>
        <v>77.975300819434182</v>
      </c>
      <c r="F19" s="52">
        <f t="shared" si="3"/>
        <v>2755874.6124276221</v>
      </c>
      <c r="G19" s="22">
        <f t="shared" si="4"/>
        <v>75</v>
      </c>
      <c r="H19" s="49">
        <f t="shared" si="5"/>
        <v>0</v>
      </c>
      <c r="I19" s="24">
        <f t="shared" si="6"/>
        <v>0</v>
      </c>
      <c r="J19" s="53">
        <f t="shared" si="7"/>
        <v>2755874.6124276221</v>
      </c>
      <c r="K19" s="26">
        <v>0</v>
      </c>
      <c r="L19" s="51">
        <v>0</v>
      </c>
    </row>
    <row r="26" spans="1:24" ht="15" thickBot="1" x14ac:dyDescent="0.35">
      <c r="B26" s="76" t="s">
        <v>14</v>
      </c>
      <c r="C26" s="76"/>
      <c r="D26" s="76"/>
      <c r="E26" s="76"/>
      <c r="F26" s="11"/>
    </row>
    <row r="27" spans="1:24" ht="39.75" customHeight="1" thickBot="1" x14ac:dyDescent="0.35">
      <c r="B27" s="28"/>
      <c r="C27" s="28"/>
      <c r="D27" s="2"/>
      <c r="E27" s="28"/>
      <c r="F27" s="28"/>
      <c r="G27" s="72" t="s">
        <v>11</v>
      </c>
      <c r="H27" s="73"/>
      <c r="I27" s="74"/>
      <c r="J27" s="28"/>
      <c r="K27" s="28"/>
      <c r="L27" s="28"/>
      <c r="M27" s="72" t="s">
        <v>3</v>
      </c>
      <c r="N27" s="73"/>
      <c r="O27" s="73"/>
      <c r="P27" s="74"/>
      <c r="Q27" s="28"/>
      <c r="R27" s="72" t="s">
        <v>10</v>
      </c>
      <c r="S27" s="74"/>
      <c r="T27" s="28"/>
    </row>
    <row r="28" spans="1:24" ht="61.8" thickBot="1" x14ac:dyDescent="0.35">
      <c r="B28" s="20" t="s">
        <v>26</v>
      </c>
      <c r="C28" s="20" t="s">
        <v>4</v>
      </c>
      <c r="D28" s="21" t="s">
        <v>41</v>
      </c>
      <c r="E28" s="20" t="s">
        <v>42</v>
      </c>
      <c r="F28" s="20" t="s">
        <v>43</v>
      </c>
      <c r="G28" s="20" t="s">
        <v>44</v>
      </c>
      <c r="H28" s="20" t="s">
        <v>45</v>
      </c>
      <c r="I28" s="20" t="s">
        <v>27</v>
      </c>
      <c r="J28" s="20" t="s">
        <v>68</v>
      </c>
      <c r="K28" s="20" t="s">
        <v>28</v>
      </c>
      <c r="L28" s="20" t="s">
        <v>46</v>
      </c>
      <c r="M28" s="20" t="s">
        <v>47</v>
      </c>
      <c r="N28" s="20" t="s">
        <v>48</v>
      </c>
      <c r="O28" s="67" t="s">
        <v>66</v>
      </c>
      <c r="P28" s="20" t="s">
        <v>49</v>
      </c>
      <c r="Q28" s="67" t="s">
        <v>67</v>
      </c>
      <c r="R28" s="20" t="s">
        <v>70</v>
      </c>
      <c r="S28" s="20" t="s">
        <v>69</v>
      </c>
      <c r="T28" s="29" t="s">
        <v>50</v>
      </c>
      <c r="U28" s="29" t="s">
        <v>51</v>
      </c>
      <c r="V28" s="20" t="s">
        <v>52</v>
      </c>
      <c r="W28" s="66" t="s">
        <v>65</v>
      </c>
      <c r="X28" s="20" t="s">
        <v>21</v>
      </c>
    </row>
    <row r="29" spans="1:24" ht="15" thickBot="1" x14ac:dyDescent="0.35">
      <c r="B29" s="49">
        <f>IF(ISNUMBER(B28),$H$2/5 + B28, 0)</f>
        <v>0</v>
      </c>
      <c r="C29" s="68">
        <f>((I29*10^5*$H$5)/(8.3142*(273+$H$4)))</f>
        <v>156.10517071872343</v>
      </c>
      <c r="D29" s="54">
        <f>(PI()*(2*$H$2)^2)/4</f>
        <v>17671.458676442588</v>
      </c>
      <c r="E29" s="30">
        <f>J9</f>
        <v>3180862.5617596656</v>
      </c>
      <c r="F29" s="55">
        <f>L9</f>
        <v>1</v>
      </c>
      <c r="G29" s="30">
        <v>20</v>
      </c>
      <c r="H29" s="55">
        <f>I29+G29</f>
        <v>225</v>
      </c>
      <c r="I29" s="31">
        <f>IF(ISNUMBER(I28),I28*0.677,$H$3)</f>
        <v>205</v>
      </c>
      <c r="J29" s="56">
        <f>( F29*E29*10^-6*SQRT((2*I29)/C29))</f>
        <v>5.1549942910581574</v>
      </c>
      <c r="K29" s="32">
        <f>(J29/(E29*10^-6))</f>
        <v>1.6206277985825313</v>
      </c>
      <c r="L29" s="57">
        <f>IF(ISNUMBER(K28), ABS(K29 -K28), K29)</f>
        <v>1.6206277985825313</v>
      </c>
      <c r="M29" s="33">
        <f>(D29*10^-6*0.98*SQRT(H29*C29*1.29))</f>
        <v>3.6863217073572301</v>
      </c>
      <c r="N29" s="58">
        <f>M29/C29</f>
        <v>2.3614347240293487E-2</v>
      </c>
      <c r="O29" s="34">
        <f>E29*10^-6*(1-F29)*K29</f>
        <v>0</v>
      </c>
      <c r="P29" s="59">
        <f xml:space="preserve"> N29+O29</f>
        <v>2.3614347240293487E-2</v>
      </c>
      <c r="Q29" s="35">
        <f>IF(K29 &lt;&gt; 0, (I29/(C29*K29)), 0)</f>
        <v>0.81031389929126563</v>
      </c>
      <c r="R29" s="36">
        <f>IF(OR(Q29=0, K29 =0), R28/2, IF(ISNUMBER(I28), (Q29*C29*K29)/I28, 0)*($H$2/75))</f>
        <v>0</v>
      </c>
      <c r="S29" s="60">
        <f>IF(ISNUMBER(S28),S28+R29,R29)</f>
        <v>0</v>
      </c>
      <c r="T29" s="37">
        <f xml:space="preserve"> IF(ISNUMBER(T28),T28+P29,P29)</f>
        <v>2.3614347240293487E-2</v>
      </c>
      <c r="U29" s="61">
        <f xml:space="preserve"> T29*2119</f>
        <v>50.038801802181901</v>
      </c>
      <c r="V29" s="38">
        <f>((I29*10^5*$H$5)/(C29*8.314*(273+$H$4)))</f>
        <v>1.000024055809478</v>
      </c>
      <c r="W29" s="62">
        <f>(I29*10^5*J29*(K9*PI()/180*S29))</f>
        <v>0</v>
      </c>
      <c r="X29" s="39" t="str">
        <f>IF(S10=0," Valve is fully Open", IF(S10= MAX($S$29:$S$38), "Valve is fully closed", ""))</f>
        <v xml:space="preserve"> Valve is fully Open</v>
      </c>
    </row>
    <row r="30" spans="1:24" ht="15" thickBot="1" x14ac:dyDescent="0.35">
      <c r="B30" s="49">
        <f t="shared" ref="B30:B39" si="8">IF(ISNUMBER(B29),$H$2/5 + B29, 0)</f>
        <v>15</v>
      </c>
      <c r="C30" s="68">
        <f>((I30*10^5*$H$5)/(8.3142*(273+$H$4*G30/H30)))</f>
        <v>117.33753108306638</v>
      </c>
      <c r="D30" s="54">
        <f t="shared" ref="D30:D39" si="9">(PI()*(2*$H$2)^2)/4</f>
        <v>17671.458676442588</v>
      </c>
      <c r="E30" s="30">
        <f t="shared" ref="E30:E39" si="10">J10</f>
        <v>3138112.32897228</v>
      </c>
      <c r="F30" s="55">
        <f t="shared" ref="F30:F39" si="11">L10</f>
        <v>0.9</v>
      </c>
      <c r="G30" s="30">
        <v>20</v>
      </c>
      <c r="H30" s="55">
        <f t="shared" ref="H30:H39" si="12">I30+G30</f>
        <v>158.785</v>
      </c>
      <c r="I30" s="31">
        <f t="shared" ref="I30:I39" si="13">IF(ISNUMBER(I29),I29*0.677,$H$3)</f>
        <v>138.785</v>
      </c>
      <c r="J30" s="56">
        <f t="shared" ref="J30:J39" si="14">( F30*E30*10^-6*SQRT((2*I30)/C30))</f>
        <v>4.3438896519430994</v>
      </c>
      <c r="K30" s="32">
        <f t="shared" ref="K30:K39" si="15">(J30/(E30*10^-6))</f>
        <v>1.3842365079919579</v>
      </c>
      <c r="L30" s="57">
        <f t="shared" ref="L30:L39" si="16">IF(ISNUMBER(K29), ABS(K30 -K29), K30)</f>
        <v>0.2363912905905734</v>
      </c>
      <c r="M30" s="33">
        <f t="shared" ref="M30:M39" si="17">(D30*10^-6*0.98*SQRT(H30*C30*1.29))</f>
        <v>2.6848284423204203</v>
      </c>
      <c r="N30" s="58">
        <f t="shared" ref="N30:N39" si="18">M30/C30</f>
        <v>2.2881241982326682E-2</v>
      </c>
      <c r="O30" s="34">
        <f t="shared" ref="O30:O39" si="19">E30*10^-6*(1-F30)*K30</f>
        <v>0.43438896519430981</v>
      </c>
      <c r="P30" s="59">
        <f t="shared" ref="P30:P39" si="20" xml:space="preserve"> N30+O30</f>
        <v>0.45727020717663647</v>
      </c>
      <c r="Q30" s="35">
        <f t="shared" ref="Q30:Q39" si="21">IF(K30 &lt;&gt; 0, (I30/(C30*K30)), 0)</f>
        <v>0.85446698024194945</v>
      </c>
      <c r="R30" s="36">
        <f t="shared" ref="R30:R39" si="22">IF(OR(Q30=0, K30 =0), R29/2, IF(ISNUMBER(I29), (Q30*C30*K30)/I29, 0)*($H$2/75))</f>
        <v>0.67699999999999994</v>
      </c>
      <c r="S30" s="60">
        <f t="shared" ref="S30:S39" si="23">IF(ISNUMBER(S29),S29+R30,R30)</f>
        <v>0.67699999999999994</v>
      </c>
      <c r="T30" s="37">
        <f t="shared" ref="T30:T39" si="24" xml:space="preserve"> IF(ISNUMBER(T29),T29+P30,P30)</f>
        <v>0.48088455441692995</v>
      </c>
      <c r="U30" s="61">
        <f t="shared" ref="U30:U39" si="25" xml:space="preserve"> T30*2119</f>
        <v>1018.9943708094746</v>
      </c>
      <c r="V30" s="38">
        <f t="shared" ref="V30:V39" si="26">((I30*10^5*$H$5)/(C30*8.314*(273+$H$4)))</f>
        <v>0.90069853946983158</v>
      </c>
      <c r="W30" s="62">
        <f t="shared" ref="W30:W39" si="27">(I30*10^5*J30*(K10*PI()/180*S30))</f>
        <v>56987202.412048139</v>
      </c>
      <c r="X30" s="39" t="str">
        <f t="shared" ref="X30:X39" si="28">IF(S11=0," Valve is fully Open", IF(S11= MAX($S$29:$S$38), "Valve is fully closed", ""))</f>
        <v xml:space="preserve"> Valve is fully Open</v>
      </c>
    </row>
    <row r="31" spans="1:24" ht="15" thickBot="1" x14ac:dyDescent="0.35">
      <c r="B31" s="49">
        <f t="shared" si="8"/>
        <v>30</v>
      </c>
      <c r="C31" s="68">
        <f t="shared" ref="C31:C39" si="29">((I31*10^5*$H$5)/(8.3142*(273+$H$4*G31/H31)))</f>
        <v>78.944004923733686</v>
      </c>
      <c r="D31" s="54">
        <f t="shared" si="9"/>
        <v>17671.458676442588</v>
      </c>
      <c r="E31" s="30">
        <f t="shared" si="10"/>
        <v>3095360.8582196934</v>
      </c>
      <c r="F31" s="55">
        <f t="shared" si="11"/>
        <v>0.75</v>
      </c>
      <c r="G31" s="30">
        <v>20</v>
      </c>
      <c r="H31" s="55">
        <f t="shared" si="12"/>
        <v>113.95744500000001</v>
      </c>
      <c r="I31" s="31">
        <f t="shared" si="13"/>
        <v>93.957445000000007</v>
      </c>
      <c r="J31" s="56">
        <f t="shared" si="14"/>
        <v>3.5817359790872794</v>
      </c>
      <c r="K31" s="32">
        <f t="shared" si="15"/>
        <v>1.1571303454251618</v>
      </c>
      <c r="L31" s="57">
        <f t="shared" si="16"/>
        <v>0.22710616256679605</v>
      </c>
      <c r="M31" s="33">
        <f t="shared" si="17"/>
        <v>1.8656245992677361</v>
      </c>
      <c r="N31" s="58">
        <f t="shared" si="18"/>
        <v>2.363225175958682E-2</v>
      </c>
      <c r="O31" s="34">
        <f t="shared" si="19"/>
        <v>0.89543399477181973</v>
      </c>
      <c r="P31" s="59">
        <f t="shared" si="20"/>
        <v>0.91906624653140656</v>
      </c>
      <c r="Q31" s="35">
        <f t="shared" si="21"/>
        <v>1.028560307044589</v>
      </c>
      <c r="R31" s="36">
        <f t="shared" si="22"/>
        <v>0.67699999999999994</v>
      </c>
      <c r="S31" s="60">
        <f t="shared" si="23"/>
        <v>1.3539999999999999</v>
      </c>
      <c r="T31" s="37">
        <f t="shared" si="24"/>
        <v>1.3999508009483366</v>
      </c>
      <c r="U31" s="61">
        <f t="shared" si="25"/>
        <v>2966.4957472095252</v>
      </c>
      <c r="V31" s="38">
        <f t="shared" si="26"/>
        <v>0.90632908721995109</v>
      </c>
      <c r="W31" s="62">
        <f t="shared" si="27"/>
        <v>55669694.737119935</v>
      </c>
      <c r="X31" s="39" t="str">
        <f t="shared" si="28"/>
        <v xml:space="preserve"> Valve is fully Open</v>
      </c>
    </row>
    <row r="32" spans="1:24" ht="15" thickBot="1" x14ac:dyDescent="0.35">
      <c r="B32" s="49">
        <f t="shared" si="8"/>
        <v>45</v>
      </c>
      <c r="C32" s="68">
        <f t="shared" si="29"/>
        <v>53.021583404649583</v>
      </c>
      <c r="D32" s="54">
        <f t="shared" si="9"/>
        <v>17671.458676442588</v>
      </c>
      <c r="E32" s="30">
        <f t="shared" si="10"/>
        <v>3052607.7467193794</v>
      </c>
      <c r="F32" s="55">
        <f t="shared" si="11"/>
        <v>0.57999999999999996</v>
      </c>
      <c r="G32" s="30">
        <v>20</v>
      </c>
      <c r="H32" s="55">
        <f t="shared" si="12"/>
        <v>83.609190265000009</v>
      </c>
      <c r="I32" s="31">
        <f t="shared" si="13"/>
        <v>63.609190265000009</v>
      </c>
      <c r="J32" s="56">
        <f t="shared" si="14"/>
        <v>2.7425059622656036</v>
      </c>
      <c r="K32" s="32">
        <f t="shared" si="15"/>
        <v>0.89841413958703331</v>
      </c>
      <c r="L32" s="57">
        <f t="shared" si="16"/>
        <v>0.25871620583812849</v>
      </c>
      <c r="M32" s="33">
        <f t="shared" si="17"/>
        <v>1.3096241817629581</v>
      </c>
      <c r="N32" s="58">
        <f t="shared" si="18"/>
        <v>2.4699831609482154E-2</v>
      </c>
      <c r="O32" s="34">
        <f t="shared" si="19"/>
        <v>1.1518525041515537</v>
      </c>
      <c r="P32" s="59">
        <f t="shared" si="20"/>
        <v>1.1765523357610359</v>
      </c>
      <c r="Q32" s="35">
        <f t="shared" si="21"/>
        <v>1.335336117103201</v>
      </c>
      <c r="R32" s="36">
        <f t="shared" si="22"/>
        <v>0.67700000000000005</v>
      </c>
      <c r="S32" s="60">
        <f t="shared" si="23"/>
        <v>2.0309999999999997</v>
      </c>
      <c r="T32" s="37">
        <f t="shared" si="24"/>
        <v>2.5765031367093725</v>
      </c>
      <c r="U32" s="61">
        <f t="shared" si="25"/>
        <v>5459.6101466871605</v>
      </c>
      <c r="V32" s="38">
        <f t="shared" si="26"/>
        <v>0.91356835715152129</v>
      </c>
      <c r="W32" s="62">
        <f t="shared" si="27"/>
        <v>37102740.503529467</v>
      </c>
      <c r="X32" s="39" t="str">
        <f t="shared" si="28"/>
        <v xml:space="preserve"> Valve is fully Open</v>
      </c>
    </row>
    <row r="33" spans="2:24" ht="15" thickBot="1" x14ac:dyDescent="0.35">
      <c r="B33" s="49">
        <f t="shared" si="8"/>
        <v>60</v>
      </c>
      <c r="C33" s="68">
        <f t="shared" si="29"/>
        <v>35.550977183994135</v>
      </c>
      <c r="D33" s="54">
        <f t="shared" si="9"/>
        <v>17671.458676442588</v>
      </c>
      <c r="E33" s="30">
        <f t="shared" si="10"/>
        <v>3009854.4773104405</v>
      </c>
      <c r="F33" s="55">
        <f t="shared" si="11"/>
        <v>0.4</v>
      </c>
      <c r="G33" s="30">
        <v>20</v>
      </c>
      <c r="H33" s="55">
        <f t="shared" si="12"/>
        <v>63.063421809405007</v>
      </c>
      <c r="I33" s="31">
        <f t="shared" si="13"/>
        <v>43.063421809405007</v>
      </c>
      <c r="J33" s="56">
        <f t="shared" si="14"/>
        <v>1.873911102302471</v>
      </c>
      <c r="K33" s="32">
        <f t="shared" si="15"/>
        <v>0.6225919280911445</v>
      </c>
      <c r="L33" s="57">
        <f t="shared" si="16"/>
        <v>0.27582221149588881</v>
      </c>
      <c r="M33" s="33">
        <f t="shared" si="17"/>
        <v>0.93133916731109923</v>
      </c>
      <c r="N33" s="58">
        <f t="shared" si="18"/>
        <v>2.6197287418878869E-2</v>
      </c>
      <c r="O33" s="34">
        <f t="shared" si="19"/>
        <v>1.1243466613814825</v>
      </c>
      <c r="P33" s="59">
        <f t="shared" si="20"/>
        <v>1.1505439488003615</v>
      </c>
      <c r="Q33" s="35">
        <f t="shared" si="21"/>
        <v>1.9455997752848264</v>
      </c>
      <c r="R33" s="36">
        <f t="shared" si="22"/>
        <v>0.67700000000000005</v>
      </c>
      <c r="S33" s="60">
        <f t="shared" si="23"/>
        <v>2.7079999999999997</v>
      </c>
      <c r="T33" s="37">
        <f t="shared" si="24"/>
        <v>3.7270470855097342</v>
      </c>
      <c r="U33" s="61">
        <f t="shared" si="25"/>
        <v>7897.6127741951268</v>
      </c>
      <c r="V33" s="38">
        <f t="shared" si="26"/>
        <v>0.92242458152542761</v>
      </c>
      <c r="W33" s="62">
        <f t="shared" si="27"/>
        <v>19070125.537759688</v>
      </c>
      <c r="X33" s="39" t="str">
        <f t="shared" si="28"/>
        <v xml:space="preserve"> Valve is fully Open</v>
      </c>
    </row>
    <row r="34" spans="2:24" ht="15" thickBot="1" x14ac:dyDescent="0.35">
      <c r="B34" s="49">
        <f t="shared" si="8"/>
        <v>75</v>
      </c>
      <c r="C34" s="68">
        <f t="shared" si="29"/>
        <v>23.804822949744704</v>
      </c>
      <c r="D34" s="54">
        <f t="shared" si="9"/>
        <v>17671.458676442588</v>
      </c>
      <c r="E34" s="30">
        <f t="shared" si="10"/>
        <v>2967106.0208199034</v>
      </c>
      <c r="F34" s="55">
        <f t="shared" si="11"/>
        <v>0.3</v>
      </c>
      <c r="G34" s="30">
        <v>20</v>
      </c>
      <c r="H34" s="55">
        <f t="shared" si="12"/>
        <v>49.153936564967196</v>
      </c>
      <c r="I34" s="31">
        <f t="shared" si="13"/>
        <v>29.153936564967193</v>
      </c>
      <c r="J34" s="56">
        <f t="shared" si="14"/>
        <v>1.393110102911181</v>
      </c>
      <c r="K34" s="32">
        <f t="shared" si="15"/>
        <v>0.4695181409548087</v>
      </c>
      <c r="L34" s="57">
        <f t="shared" si="16"/>
        <v>0.15307378713633579</v>
      </c>
      <c r="M34" s="33">
        <f t="shared" si="17"/>
        <v>0.67282940054238649</v>
      </c>
      <c r="N34" s="58">
        <f t="shared" si="18"/>
        <v>2.8264415238996865E-2</v>
      </c>
      <c r="O34" s="34">
        <f t="shared" si="19"/>
        <v>0.97517707203782666</v>
      </c>
      <c r="P34" s="59">
        <f t="shared" si="20"/>
        <v>1.0034414872768236</v>
      </c>
      <c r="Q34" s="35">
        <f t="shared" si="21"/>
        <v>2.6084341164156042</v>
      </c>
      <c r="R34" s="36">
        <f t="shared" si="22"/>
        <v>0.67700000000000016</v>
      </c>
      <c r="S34" s="60">
        <f t="shared" si="23"/>
        <v>3.3849999999999998</v>
      </c>
      <c r="T34" s="37">
        <f t="shared" si="24"/>
        <v>4.730488572786558</v>
      </c>
      <c r="U34" s="61">
        <f t="shared" si="25"/>
        <v>10023.905285734716</v>
      </c>
      <c r="V34" s="38">
        <f t="shared" si="26"/>
        <v>0.93262300384735941</v>
      </c>
      <c r="W34" s="62">
        <f t="shared" si="27"/>
        <v>9597954.3098641168</v>
      </c>
      <c r="X34" s="39" t="str">
        <f t="shared" si="28"/>
        <v xml:space="preserve"> Valve is fully Open</v>
      </c>
    </row>
    <row r="35" spans="2:24" ht="15" thickBot="1" x14ac:dyDescent="0.35">
      <c r="B35" s="49">
        <f t="shared" si="8"/>
        <v>90</v>
      </c>
      <c r="C35" s="68">
        <f t="shared" si="29"/>
        <v>15.928720862680565</v>
      </c>
      <c r="D35" s="54">
        <f t="shared" si="9"/>
        <v>17671.458676442588</v>
      </c>
      <c r="E35" s="30">
        <f t="shared" si="10"/>
        <v>2924373.7036443329</v>
      </c>
      <c r="F35" s="55">
        <f t="shared" si="11"/>
        <v>0.2</v>
      </c>
      <c r="G35" s="30">
        <v>20</v>
      </c>
      <c r="H35" s="55">
        <f t="shared" si="12"/>
        <v>39.737215054482789</v>
      </c>
      <c r="I35" s="31">
        <f t="shared" si="13"/>
        <v>19.737215054482792</v>
      </c>
      <c r="J35" s="56">
        <f t="shared" si="14"/>
        <v>0.92072587717263976</v>
      </c>
      <c r="K35" s="32">
        <f t="shared" si="15"/>
        <v>0.31484549188266808</v>
      </c>
      <c r="L35" s="57">
        <f t="shared" si="16"/>
        <v>0.15467264907214062</v>
      </c>
      <c r="M35" s="33">
        <f t="shared" si="17"/>
        <v>0.49486016376986958</v>
      </c>
      <c r="N35" s="58">
        <f t="shared" si="18"/>
        <v>3.1067162770695451E-2</v>
      </c>
      <c r="O35" s="34">
        <f t="shared" si="19"/>
        <v>0.73658070173811185</v>
      </c>
      <c r="P35" s="59">
        <f t="shared" si="20"/>
        <v>0.76764786450880729</v>
      </c>
      <c r="Q35" s="35">
        <f t="shared" si="21"/>
        <v>3.9355686485333505</v>
      </c>
      <c r="R35" s="36">
        <f t="shared" si="22"/>
        <v>0.67700000000000005</v>
      </c>
      <c r="S35" s="60">
        <f t="shared" si="23"/>
        <v>4.0619999999999994</v>
      </c>
      <c r="T35" s="37">
        <f t="shared" si="24"/>
        <v>5.4981364372953649</v>
      </c>
      <c r="U35" s="61">
        <f t="shared" si="25"/>
        <v>11650.551110628878</v>
      </c>
      <c r="V35" s="38">
        <f t="shared" si="26"/>
        <v>0.94358025878025564</v>
      </c>
      <c r="W35" s="62">
        <f t="shared" si="27"/>
        <v>3865046.8609301583</v>
      </c>
      <c r="X35" s="39" t="str">
        <f t="shared" si="28"/>
        <v xml:space="preserve"> Valve is fully Open</v>
      </c>
    </row>
    <row r="36" spans="2:24" ht="15" thickBot="1" x14ac:dyDescent="0.35">
      <c r="B36" s="49">
        <f t="shared" si="8"/>
        <v>105</v>
      </c>
      <c r="C36" s="68">
        <f t="shared" si="29"/>
        <v>10.66026741811644</v>
      </c>
      <c r="D36" s="54">
        <f t="shared" si="9"/>
        <v>17671.458676442588</v>
      </c>
      <c r="E36" s="30">
        <f t="shared" si="10"/>
        <v>2881681.2249527071</v>
      </c>
      <c r="F36" s="55">
        <f t="shared" si="11"/>
        <v>0.13</v>
      </c>
      <c r="G36" s="30">
        <v>20</v>
      </c>
      <c r="H36" s="55">
        <f t="shared" si="12"/>
        <v>33.362094591884855</v>
      </c>
      <c r="I36" s="31">
        <f t="shared" si="13"/>
        <v>13.362094591884851</v>
      </c>
      <c r="J36" s="56">
        <f t="shared" si="14"/>
        <v>0.59314040360411935</v>
      </c>
      <c r="K36" s="32">
        <f t="shared" si="15"/>
        <v>0.20583137318176256</v>
      </c>
      <c r="L36" s="57">
        <f t="shared" si="16"/>
        <v>0.10901411870090552</v>
      </c>
      <c r="M36" s="33">
        <f t="shared" si="17"/>
        <v>0.3709403134986522</v>
      </c>
      <c r="N36" s="58">
        <f t="shared" si="18"/>
        <v>3.4796529857052456E-2</v>
      </c>
      <c r="O36" s="34">
        <f t="shared" si="19"/>
        <v>0.51603215113558376</v>
      </c>
      <c r="P36" s="59">
        <f t="shared" si="20"/>
        <v>0.55082868099263627</v>
      </c>
      <c r="Q36" s="35">
        <f t="shared" si="21"/>
        <v>6.0896855970935677</v>
      </c>
      <c r="R36" s="36">
        <f t="shared" si="22"/>
        <v>0.67700000000000005</v>
      </c>
      <c r="S36" s="60">
        <f t="shared" si="23"/>
        <v>4.738999999999999</v>
      </c>
      <c r="T36" s="37">
        <f t="shared" si="24"/>
        <v>6.0489651182880015</v>
      </c>
      <c r="U36" s="61">
        <f t="shared" si="25"/>
        <v>12817.757085652276</v>
      </c>
      <c r="V36" s="38">
        <f t="shared" si="26"/>
        <v>0.95450963636488317</v>
      </c>
      <c r="W36" s="62">
        <f t="shared" si="27"/>
        <v>1311070.7312318117</v>
      </c>
      <c r="X36" s="39" t="str">
        <f t="shared" si="28"/>
        <v xml:space="preserve"> Valve is fully Open</v>
      </c>
    </row>
    <row r="37" spans="2:24" ht="15" thickBot="1" x14ac:dyDescent="0.35">
      <c r="B37" s="49">
        <f t="shared" si="8"/>
        <v>120</v>
      </c>
      <c r="C37" s="68">
        <f t="shared" si="29"/>
        <v>7.1412675270331363</v>
      </c>
      <c r="D37" s="54">
        <f t="shared" si="9"/>
        <v>17671.458676442588</v>
      </c>
      <c r="E37" s="30">
        <f t="shared" si="10"/>
        <v>2824809.6056714775</v>
      </c>
      <c r="F37" s="55">
        <f t="shared" si="11"/>
        <v>0.08</v>
      </c>
      <c r="G37" s="30">
        <v>20</v>
      </c>
      <c r="H37" s="55">
        <f t="shared" si="12"/>
        <v>29.046138038706047</v>
      </c>
      <c r="I37" s="31">
        <f t="shared" si="13"/>
        <v>9.0461380387060455</v>
      </c>
      <c r="J37" s="56">
        <f t="shared" si="14"/>
        <v>0.3596980802687878</v>
      </c>
      <c r="K37" s="32">
        <f t="shared" si="15"/>
        <v>0.12733533599808225</v>
      </c>
      <c r="L37" s="57">
        <f t="shared" si="16"/>
        <v>7.8496037183680312E-2</v>
      </c>
      <c r="M37" s="33">
        <f t="shared" si="17"/>
        <v>0.2832860444088226</v>
      </c>
      <c r="N37" s="58">
        <f t="shared" si="18"/>
        <v>3.9668874375094969E-2</v>
      </c>
      <c r="O37" s="34">
        <f t="shared" si="19"/>
        <v>0.33092223384728481</v>
      </c>
      <c r="P37" s="59">
        <f t="shared" si="20"/>
        <v>0.37059110822237978</v>
      </c>
      <c r="Q37" s="35">
        <f t="shared" si="21"/>
        <v>9.9480731248501773</v>
      </c>
      <c r="R37" s="36">
        <f t="shared" si="22"/>
        <v>0.67700000000000005</v>
      </c>
      <c r="S37" s="60">
        <f t="shared" si="23"/>
        <v>5.4159999999999986</v>
      </c>
      <c r="T37" s="37">
        <f t="shared" si="24"/>
        <v>6.4195562265103812</v>
      </c>
      <c r="U37" s="61">
        <f t="shared" si="25"/>
        <v>13603.039643975497</v>
      </c>
      <c r="V37" s="38">
        <f t="shared" si="26"/>
        <v>0.96463226090175858</v>
      </c>
      <c r="W37" s="62">
        <f t="shared" si="27"/>
        <v>307579.476742275</v>
      </c>
      <c r="X37" s="39" t="str">
        <f t="shared" si="28"/>
        <v xml:space="preserve"> Valve is fully Open</v>
      </c>
    </row>
    <row r="38" spans="2:24" ht="15" thickBot="1" x14ac:dyDescent="0.35">
      <c r="B38" s="49">
        <f t="shared" si="8"/>
        <v>135</v>
      </c>
      <c r="C38" s="68">
        <f t="shared" si="29"/>
        <v>4.791169950366359</v>
      </c>
      <c r="D38" s="54">
        <f t="shared" si="9"/>
        <v>17671.458676442588</v>
      </c>
      <c r="E38" s="30">
        <f t="shared" si="10"/>
        <v>2753667.9198374548</v>
      </c>
      <c r="F38" s="55">
        <f t="shared" si="11"/>
        <v>0.04</v>
      </c>
      <c r="G38" s="30">
        <v>20</v>
      </c>
      <c r="H38" s="55">
        <f t="shared" si="12"/>
        <v>26.124235452203994</v>
      </c>
      <c r="I38" s="31">
        <f t="shared" si="13"/>
        <v>6.124235452203993</v>
      </c>
      <c r="J38" s="56">
        <f t="shared" si="14"/>
        <v>0.1761131178421802</v>
      </c>
      <c r="K38" s="32">
        <f t="shared" si="15"/>
        <v>6.3955830175984302E-2</v>
      </c>
      <c r="L38" s="57">
        <f t="shared" si="16"/>
        <v>6.3379505822097948E-2</v>
      </c>
      <c r="M38" s="33">
        <f t="shared" si="17"/>
        <v>0.22005736740648213</v>
      </c>
      <c r="N38" s="58">
        <f t="shared" si="18"/>
        <v>4.5929777003559505E-2</v>
      </c>
      <c r="O38" s="34">
        <f t="shared" si="19"/>
        <v>0.16906859312849301</v>
      </c>
      <c r="P38" s="59">
        <f t="shared" si="20"/>
        <v>0.21499837013205253</v>
      </c>
      <c r="Q38" s="35">
        <f t="shared" si="21"/>
        <v>19.986196929995096</v>
      </c>
      <c r="R38" s="36">
        <f t="shared" si="22"/>
        <v>0.67700000000000016</v>
      </c>
      <c r="S38" s="60">
        <f t="shared" si="23"/>
        <v>6.0929999999999991</v>
      </c>
      <c r="T38" s="37">
        <f t="shared" si="24"/>
        <v>6.6345545966424337</v>
      </c>
      <c r="U38" s="61">
        <f t="shared" si="25"/>
        <v>14058.621190285317</v>
      </c>
      <c r="V38" s="38">
        <f t="shared" si="26"/>
        <v>0.97338394266952422</v>
      </c>
      <c r="W38" s="62">
        <f t="shared" si="27"/>
        <v>57348.509504199763</v>
      </c>
      <c r="X38" s="39" t="str">
        <f t="shared" si="28"/>
        <v xml:space="preserve"> Valve is fully Open</v>
      </c>
    </row>
    <row r="39" spans="2:24" x14ac:dyDescent="0.3">
      <c r="B39" s="49">
        <f t="shared" si="8"/>
        <v>150</v>
      </c>
      <c r="C39" s="68">
        <f t="shared" si="29"/>
        <v>3.2200444806832014</v>
      </c>
      <c r="D39" s="54">
        <f t="shared" si="9"/>
        <v>17671.458676442588</v>
      </c>
      <c r="E39" s="30">
        <f t="shared" si="10"/>
        <v>2755874.6124276221</v>
      </c>
      <c r="F39" s="55">
        <f t="shared" si="11"/>
        <v>0</v>
      </c>
      <c r="G39" s="30">
        <v>20</v>
      </c>
      <c r="H39" s="55">
        <f t="shared" si="12"/>
        <v>24.146107401142103</v>
      </c>
      <c r="I39" s="31">
        <f t="shared" si="13"/>
        <v>4.1461074011421033</v>
      </c>
      <c r="J39" s="56">
        <f t="shared" si="14"/>
        <v>0</v>
      </c>
      <c r="K39" s="32">
        <f t="shared" si="15"/>
        <v>0</v>
      </c>
      <c r="L39" s="57">
        <f t="shared" si="16"/>
        <v>6.3955830175984302E-2</v>
      </c>
      <c r="M39" s="33">
        <f t="shared" si="17"/>
        <v>0.17343942689818712</v>
      </c>
      <c r="N39" s="58">
        <f t="shared" si="18"/>
        <v>5.3862432006339313E-2</v>
      </c>
      <c r="O39" s="34">
        <f t="shared" si="19"/>
        <v>0</v>
      </c>
      <c r="P39" s="59">
        <f t="shared" si="20"/>
        <v>5.3862432006339313E-2</v>
      </c>
      <c r="Q39" s="35">
        <f t="shared" si="21"/>
        <v>0</v>
      </c>
      <c r="R39" s="36">
        <f t="shared" si="22"/>
        <v>0.33850000000000008</v>
      </c>
      <c r="S39" s="60">
        <f t="shared" si="23"/>
        <v>6.4314999999999989</v>
      </c>
      <c r="T39" s="37">
        <f t="shared" si="24"/>
        <v>6.6884170286487734</v>
      </c>
      <c r="U39" s="61">
        <f t="shared" si="25"/>
        <v>14172.755683706751</v>
      </c>
      <c r="V39" s="38">
        <f t="shared" si="26"/>
        <v>0.98051118384447078</v>
      </c>
      <c r="W39" s="62">
        <f t="shared" si="27"/>
        <v>0</v>
      </c>
      <c r="X39" s="39" t="str">
        <f t="shared" si="28"/>
        <v xml:space="preserve"> Valve is fully Open</v>
      </c>
    </row>
    <row r="42" spans="2:24" ht="15" thickBot="1" x14ac:dyDescent="0.35">
      <c r="B42" s="76" t="s">
        <v>15</v>
      </c>
      <c r="C42" s="76"/>
      <c r="D42" s="76"/>
      <c r="E42" s="76"/>
    </row>
    <row r="43" spans="2:24" ht="15" thickBot="1" x14ac:dyDescent="0.35">
      <c r="B43" s="40"/>
      <c r="C43" s="40"/>
      <c r="D43" s="40"/>
      <c r="E43" s="40"/>
      <c r="F43" s="40"/>
      <c r="G43" s="40"/>
      <c r="H43" s="72" t="s">
        <v>5</v>
      </c>
      <c r="I43" s="73"/>
      <c r="J43" s="74"/>
    </row>
    <row r="44" spans="2:24" ht="91.2" thickBot="1" x14ac:dyDescent="0.35">
      <c r="B44" s="20" t="s">
        <v>32</v>
      </c>
      <c r="C44" s="20" t="s">
        <v>29</v>
      </c>
      <c r="D44" s="20" t="s">
        <v>30</v>
      </c>
      <c r="E44" s="20" t="s">
        <v>53</v>
      </c>
      <c r="F44" s="20" t="s">
        <v>54</v>
      </c>
      <c r="G44" s="20" t="s">
        <v>55</v>
      </c>
      <c r="H44" s="20" t="s">
        <v>56</v>
      </c>
      <c r="I44" s="41" t="s">
        <v>57</v>
      </c>
      <c r="J44" s="20" t="s">
        <v>58</v>
      </c>
      <c r="K44" s="41" t="s">
        <v>59</v>
      </c>
      <c r="L44" s="20" t="s">
        <v>60</v>
      </c>
      <c r="M44" s="41" t="s">
        <v>61</v>
      </c>
      <c r="N44" s="20" t="s">
        <v>62</v>
      </c>
      <c r="O44" s="29" t="s">
        <v>63</v>
      </c>
      <c r="P44" s="29" t="s">
        <v>33</v>
      </c>
      <c r="Q44" s="20" t="s">
        <v>64</v>
      </c>
    </row>
    <row r="45" spans="2:24" x14ac:dyDescent="0.3">
      <c r="B45" s="22">
        <f>(( 2*$H$2)/50)</f>
        <v>3</v>
      </c>
      <c r="C45" s="22">
        <v>1</v>
      </c>
      <c r="D45" s="49">
        <f>(B45^0.25*(0.22*C45-0.13*C45^1.5+0.00068*($H$4-15)))</f>
        <v>0.13634526774187822</v>
      </c>
      <c r="E45" s="24">
        <f>M30/M29</f>
        <v>0.72832179485637116</v>
      </c>
      <c r="F45" s="49">
        <f xml:space="preserve"> I29/H29</f>
        <v>0.91111111111111109</v>
      </c>
      <c r="G45" s="24">
        <f xml:space="preserve"> P30/P29</f>
        <v>19.36408415289117</v>
      </c>
      <c r="H45" s="51">
        <f>(LN(E45/D45)*($H$2/75))</f>
        <v>1.675552574441215</v>
      </c>
      <c r="I45" s="27">
        <f>IF(ISNUMBER(I44),I44+H45,H45)</f>
        <v>1.675552574441215</v>
      </c>
      <c r="J45" s="51">
        <f>LN(F45/D45)*($H$2/75)</f>
        <v>1.8994744539237149</v>
      </c>
      <c r="K45" s="27">
        <f>IF(ISNUMBER(K44),K44+J45,J45)</f>
        <v>1.8994744539237149</v>
      </c>
      <c r="L45" s="51">
        <f>LN(G45/D45)*($H$2/75)</f>
        <v>4.9559848949000767</v>
      </c>
      <c r="M45" s="27">
        <f>IF(ISNUMBER(M44),M44+L45,L45)</f>
        <v>4.9559848949000767</v>
      </c>
      <c r="N45" s="63">
        <f>N29* EXP(-D45*I45)</f>
        <v>1.8791427782746187E-2</v>
      </c>
      <c r="O45" s="42">
        <f xml:space="preserve"> P29 *EXP(-D45*L45)</f>
        <v>1.2014681662191213E-2</v>
      </c>
      <c r="P45" s="65">
        <f>I29</f>
        <v>205</v>
      </c>
      <c r="Q45" s="27">
        <f xml:space="preserve"> H29*EXP(-D45*J45)</f>
        <v>173.66289746882643</v>
      </c>
    </row>
    <row r="46" spans="2:24" x14ac:dyDescent="0.3">
      <c r="B46" s="22">
        <f t="shared" ref="B46:B55" si="30">(( 2*$H$2)/50)</f>
        <v>3</v>
      </c>
      <c r="C46" s="26">
        <v>1</v>
      </c>
      <c r="D46" s="49">
        <f t="shared" ref="D46:D55" si="31">(B46^0.25*(0.22*C46-0.13*C46^1.5+0.00068*($H$4-15)))</f>
        <v>0.13634526774187822</v>
      </c>
      <c r="E46" s="24">
        <f t="shared" ref="E46:E55" si="32">M31/M30</f>
        <v>0.69487665202746818</v>
      </c>
      <c r="F46" s="49">
        <v>0.87404351796454327</v>
      </c>
      <c r="G46" s="24">
        <f t="shared" ref="G46:G55" si="33" xml:space="preserve"> P31/P30</f>
        <v>2.0098975006617592</v>
      </c>
      <c r="H46" s="51">
        <f t="shared" ref="H46:H54" si="34">(LN(E46/D46)*($H$2/75))</f>
        <v>1.6285439487239353</v>
      </c>
      <c r="I46" s="27">
        <f t="shared" ref="I46:I55" si="35">IF(ISNUMBER(I45),I45+H46,H46)</f>
        <v>3.3040965231651502</v>
      </c>
      <c r="J46" s="51">
        <f t="shared" ref="J46:J54" si="36">LN(F46/D46)*($H$2/75)</f>
        <v>1.8579397641450042</v>
      </c>
      <c r="K46" s="27">
        <f t="shared" ref="K46:K55" si="37">IF(ISNUMBER(K45),K45+J46,J46)</f>
        <v>3.7574142180687193</v>
      </c>
      <c r="L46" s="51">
        <f t="shared" ref="L46:L54" si="38">LN(G46/D46)*($H$2/75)</f>
        <v>2.6906486030647954</v>
      </c>
      <c r="M46" s="27">
        <f t="shared" ref="M46:M55" si="39">IF(ISNUMBER(M45),M45+L46,L46)</f>
        <v>7.6466334979648725</v>
      </c>
      <c r="N46" s="63">
        <f t="shared" ref="N46:N54" si="40">N30* EXP(-D46*I46)</f>
        <v>1.4582461250573425E-2</v>
      </c>
      <c r="O46" s="42">
        <f t="shared" ref="O46:O54" si="41" xml:space="preserve"> P30 *EXP(-D46*L46)</f>
        <v>0.31684645104068893</v>
      </c>
      <c r="P46" s="65">
        <f t="shared" ref="P46:P55" si="42">I30</f>
        <v>138.785</v>
      </c>
      <c r="Q46" s="27">
        <f t="shared" ref="Q46:Q55" si="43" xml:space="preserve"> H30*EXP(-D46*J46)</f>
        <v>123.25184610160566</v>
      </c>
    </row>
    <row r="47" spans="2:24" x14ac:dyDescent="0.3">
      <c r="B47" s="22">
        <f t="shared" si="30"/>
        <v>3</v>
      </c>
      <c r="C47" s="26">
        <v>1</v>
      </c>
      <c r="D47" s="49">
        <f t="shared" si="31"/>
        <v>0.13634526774187822</v>
      </c>
      <c r="E47" s="24">
        <f t="shared" si="32"/>
        <v>0.70197626161071747</v>
      </c>
      <c r="F47" s="49">
        <v>0.8244958896717981</v>
      </c>
      <c r="G47" s="24">
        <f t="shared" si="33"/>
        <v>1.2801605327161043</v>
      </c>
      <c r="H47" s="51">
        <f t="shared" si="34"/>
        <v>1.6387091860923002</v>
      </c>
      <c r="I47" s="27">
        <f t="shared" si="35"/>
        <v>4.9428057092574509</v>
      </c>
      <c r="J47" s="51">
        <f t="shared" si="36"/>
        <v>1.7995817547574589</v>
      </c>
      <c r="K47" s="27">
        <f t="shared" si="37"/>
        <v>5.5569959728261784</v>
      </c>
      <c r="L47" s="51">
        <f t="shared" si="38"/>
        <v>2.239550363241757</v>
      </c>
      <c r="M47" s="27">
        <f t="shared" si="39"/>
        <v>9.8861838612066286</v>
      </c>
      <c r="N47" s="63">
        <f t="shared" si="40"/>
        <v>1.2045416465177159E-2</v>
      </c>
      <c r="O47" s="42">
        <f t="shared" si="41"/>
        <v>0.67722672355314739</v>
      </c>
      <c r="P47" s="65">
        <f t="shared" si="42"/>
        <v>93.957445000000007</v>
      </c>
      <c r="Q47" s="27">
        <f t="shared" si="43"/>
        <v>89.162507619024311</v>
      </c>
    </row>
    <row r="48" spans="2:24" x14ac:dyDescent="0.3">
      <c r="B48" s="22">
        <f t="shared" si="30"/>
        <v>3</v>
      </c>
      <c r="C48" s="26">
        <v>1</v>
      </c>
      <c r="D48" s="49">
        <f t="shared" si="31"/>
        <v>0.13634526774187822</v>
      </c>
      <c r="E48" s="24">
        <f t="shared" si="32"/>
        <v>0.71114994689344513</v>
      </c>
      <c r="F48" s="49">
        <v>0.76079184672630085</v>
      </c>
      <c r="G48" s="24">
        <f t="shared" si="33"/>
        <v>0.97789440709932274</v>
      </c>
      <c r="H48" s="51">
        <f t="shared" si="34"/>
        <v>1.6516929013468153</v>
      </c>
      <c r="I48" s="27">
        <f t="shared" si="35"/>
        <v>6.5944986106042665</v>
      </c>
      <c r="J48" s="51">
        <f t="shared" si="36"/>
        <v>1.7191693924703852</v>
      </c>
      <c r="K48" s="27">
        <f t="shared" si="37"/>
        <v>7.2761653652965634</v>
      </c>
      <c r="L48" s="51">
        <f t="shared" si="38"/>
        <v>1.97021129401232</v>
      </c>
      <c r="M48" s="27">
        <f t="shared" si="39"/>
        <v>11.856395155218948</v>
      </c>
      <c r="N48" s="63">
        <f t="shared" si="40"/>
        <v>1.0050955931004009E-2</v>
      </c>
      <c r="O48" s="42">
        <f t="shared" si="41"/>
        <v>0.89938815564195373</v>
      </c>
      <c r="P48" s="65">
        <f t="shared" si="42"/>
        <v>63.609190265000009</v>
      </c>
      <c r="Q48" s="27">
        <f t="shared" si="43"/>
        <v>66.138619459935072</v>
      </c>
    </row>
    <row r="49" spans="2:19" x14ac:dyDescent="0.3">
      <c r="B49" s="22">
        <f t="shared" si="30"/>
        <v>3</v>
      </c>
      <c r="C49" s="26">
        <v>1</v>
      </c>
      <c r="D49" s="49">
        <f t="shared" si="31"/>
        <v>0.13634526774187822</v>
      </c>
      <c r="E49" s="24">
        <f t="shared" si="32"/>
        <v>0.72243219673122416</v>
      </c>
      <c r="F49" s="49">
        <v>0.68285894697491212</v>
      </c>
      <c r="G49" s="24">
        <f t="shared" si="33"/>
        <v>0.87214529121037287</v>
      </c>
      <c r="H49" s="51">
        <f t="shared" si="34"/>
        <v>1.6674331682357193</v>
      </c>
      <c r="I49" s="27">
        <f t="shared" si="35"/>
        <v>8.2619317788399851</v>
      </c>
      <c r="J49" s="51">
        <f t="shared" si="36"/>
        <v>1.6110979164477579</v>
      </c>
      <c r="K49" s="27">
        <f t="shared" si="37"/>
        <v>8.8872632817443211</v>
      </c>
      <c r="L49" s="51">
        <f t="shared" si="38"/>
        <v>1.8557656263977915</v>
      </c>
      <c r="M49" s="27">
        <f t="shared" si="39"/>
        <v>13.71216078161674</v>
      </c>
      <c r="N49" s="63">
        <f t="shared" si="40"/>
        <v>8.4924757987264541E-3</v>
      </c>
      <c r="O49" s="42">
        <f t="shared" si="41"/>
        <v>0.89333821313641171</v>
      </c>
      <c r="P49" s="65">
        <f t="shared" si="42"/>
        <v>43.063421809405007</v>
      </c>
      <c r="Q49" s="27">
        <f t="shared" si="43"/>
        <v>50.626509315635985</v>
      </c>
    </row>
    <row r="50" spans="2:19" x14ac:dyDescent="0.3">
      <c r="B50" s="22">
        <f t="shared" si="30"/>
        <v>3</v>
      </c>
      <c r="C50" s="26">
        <v>1</v>
      </c>
      <c r="D50" s="49">
        <f t="shared" si="31"/>
        <v>0.13634526774187822</v>
      </c>
      <c r="E50" s="24">
        <f t="shared" si="32"/>
        <v>0.73549129002232816</v>
      </c>
      <c r="F50" s="49">
        <v>0.59311498940546048</v>
      </c>
      <c r="G50" s="24">
        <f t="shared" si="33"/>
        <v>0.76501507486209119</v>
      </c>
      <c r="H50" s="51">
        <f t="shared" si="34"/>
        <v>1.6853482957251595</v>
      </c>
      <c r="I50" s="27">
        <f t="shared" si="35"/>
        <v>9.9472800745651444</v>
      </c>
      <c r="J50" s="51">
        <f t="shared" si="36"/>
        <v>1.4701978895146384</v>
      </c>
      <c r="K50" s="27">
        <f t="shared" si="37"/>
        <v>10.35746117125896</v>
      </c>
      <c r="L50" s="51">
        <f t="shared" si="38"/>
        <v>1.724705137342051</v>
      </c>
      <c r="M50" s="27">
        <f t="shared" si="39"/>
        <v>15.436865918958791</v>
      </c>
      <c r="N50" s="63">
        <f t="shared" si="40"/>
        <v>7.2815156653138376E-3</v>
      </c>
      <c r="O50" s="42">
        <f t="shared" si="41"/>
        <v>0.79316833412184351</v>
      </c>
      <c r="P50" s="65">
        <f t="shared" si="42"/>
        <v>29.153936564967193</v>
      </c>
      <c r="Q50" s="27">
        <f t="shared" si="43"/>
        <v>40.225551830701953</v>
      </c>
    </row>
    <row r="51" spans="2:19" x14ac:dyDescent="0.3">
      <c r="B51" s="22">
        <f t="shared" si="30"/>
        <v>3</v>
      </c>
      <c r="C51" s="26">
        <v>1</v>
      </c>
      <c r="D51" s="49">
        <f t="shared" si="31"/>
        <v>0.13634526774187822</v>
      </c>
      <c r="E51" s="24">
        <f t="shared" si="32"/>
        <v>0.74958612686220338</v>
      </c>
      <c r="F51" s="49">
        <v>0.49669346549378329</v>
      </c>
      <c r="G51" s="24">
        <f t="shared" si="33"/>
        <v>0.71755385048207421</v>
      </c>
      <c r="H51" s="51">
        <f t="shared" si="34"/>
        <v>1.7043308213728696</v>
      </c>
      <c r="I51" s="27">
        <f t="shared" si="35"/>
        <v>11.651610895938013</v>
      </c>
      <c r="J51" s="51">
        <f t="shared" si="36"/>
        <v>1.292782664193372</v>
      </c>
      <c r="K51" s="27">
        <f t="shared" si="37"/>
        <v>11.650243835452331</v>
      </c>
      <c r="L51" s="51">
        <f t="shared" si="38"/>
        <v>1.660657595761724</v>
      </c>
      <c r="M51" s="27">
        <f t="shared" si="39"/>
        <v>17.097523514720514</v>
      </c>
      <c r="N51" s="63">
        <f t="shared" si="40"/>
        <v>6.3439994312371661E-3</v>
      </c>
      <c r="O51" s="42">
        <f t="shared" si="41"/>
        <v>0.6121077405841554</v>
      </c>
      <c r="P51" s="65">
        <f t="shared" si="42"/>
        <v>19.737215054482792</v>
      </c>
      <c r="Q51" s="27">
        <f t="shared" si="43"/>
        <v>33.315520085177056</v>
      </c>
      <c r="S51" s="19"/>
    </row>
    <row r="52" spans="2:19" x14ac:dyDescent="0.3">
      <c r="B52" s="22">
        <f t="shared" si="30"/>
        <v>3</v>
      </c>
      <c r="C52" s="26">
        <v>1</v>
      </c>
      <c r="D52" s="49">
        <f t="shared" si="31"/>
        <v>0.13634526774187822</v>
      </c>
      <c r="E52" s="24">
        <f t="shared" si="32"/>
        <v>0.76369710732411922</v>
      </c>
      <c r="F52" s="49">
        <v>0.40051725634562246</v>
      </c>
      <c r="G52" s="24">
        <f t="shared" si="33"/>
        <v>0.67278832967547308</v>
      </c>
      <c r="H52" s="51">
        <f t="shared" si="34"/>
        <v>1.7229808521824586</v>
      </c>
      <c r="I52" s="27">
        <f t="shared" si="35"/>
        <v>13.374591748120473</v>
      </c>
      <c r="J52" s="51">
        <f t="shared" si="36"/>
        <v>1.0775664505930851</v>
      </c>
      <c r="K52" s="27">
        <f t="shared" si="37"/>
        <v>12.727810286045417</v>
      </c>
      <c r="L52" s="51">
        <f t="shared" si="38"/>
        <v>1.5962403606114171</v>
      </c>
      <c r="M52" s="27">
        <f t="shared" si="39"/>
        <v>18.693763875331932</v>
      </c>
      <c r="N52" s="63">
        <f t="shared" si="40"/>
        <v>5.6178856385670243E-3</v>
      </c>
      <c r="O52" s="42">
        <f t="shared" si="41"/>
        <v>0.44309492186576283</v>
      </c>
      <c r="P52" s="65">
        <f t="shared" si="42"/>
        <v>13.362094591884851</v>
      </c>
      <c r="Q52" s="27">
        <f t="shared" si="43"/>
        <v>28.803568244053846</v>
      </c>
    </row>
    <row r="53" spans="2:19" x14ac:dyDescent="0.3">
      <c r="B53" s="22">
        <f t="shared" si="30"/>
        <v>3</v>
      </c>
      <c r="C53" s="26">
        <v>1</v>
      </c>
      <c r="D53" s="49">
        <f t="shared" si="31"/>
        <v>0.13634526774187822</v>
      </c>
      <c r="E53" s="24">
        <f t="shared" si="32"/>
        <v>0.77680271142798563</v>
      </c>
      <c r="F53" s="49">
        <v>0.31144030323932986</v>
      </c>
      <c r="G53" s="24">
        <f t="shared" si="33"/>
        <v>0.58014983458005398</v>
      </c>
      <c r="H53" s="51">
        <f t="shared" si="34"/>
        <v>1.7399960054883785</v>
      </c>
      <c r="I53" s="27">
        <f t="shared" si="35"/>
        <v>15.114587753608852</v>
      </c>
      <c r="J53" s="51">
        <f t="shared" si="36"/>
        <v>0.82601727497785538</v>
      </c>
      <c r="K53" s="27">
        <f t="shared" si="37"/>
        <v>13.553827561023272</v>
      </c>
      <c r="L53" s="51">
        <f t="shared" si="38"/>
        <v>1.4480960036680417</v>
      </c>
      <c r="M53" s="27">
        <f t="shared" si="39"/>
        <v>20.141859878999973</v>
      </c>
      <c r="N53" s="63">
        <f t="shared" si="40"/>
        <v>5.0518996725577581E-3</v>
      </c>
      <c r="O53" s="42">
        <f t="shared" si="41"/>
        <v>0.30419175734974474</v>
      </c>
      <c r="P53" s="65">
        <f t="shared" si="42"/>
        <v>9.0461380387060455</v>
      </c>
      <c r="Q53" s="27">
        <f t="shared" si="43"/>
        <v>25.95234537520216</v>
      </c>
    </row>
    <row r="54" spans="2:19" x14ac:dyDescent="0.3">
      <c r="B54" s="22">
        <f t="shared" si="30"/>
        <v>3</v>
      </c>
      <c r="C54" s="26">
        <v>1</v>
      </c>
      <c r="D54" s="49">
        <f t="shared" si="31"/>
        <v>0.13634526774187822</v>
      </c>
      <c r="E54" s="24">
        <f t="shared" si="32"/>
        <v>0.78815551118457206</v>
      </c>
      <c r="F54" s="49">
        <v>0.234427356291773</v>
      </c>
      <c r="G54" s="24">
        <f t="shared" si="33"/>
        <v>0.25052483873834425</v>
      </c>
      <c r="H54" s="51">
        <f t="shared" si="34"/>
        <v>1.7545050176136736</v>
      </c>
      <c r="I54" s="27">
        <f t="shared" si="35"/>
        <v>16.869092771222526</v>
      </c>
      <c r="J54" s="51">
        <f t="shared" si="36"/>
        <v>0.54195535663003724</v>
      </c>
      <c r="K54" s="27">
        <f t="shared" si="37"/>
        <v>14.09578291765331</v>
      </c>
      <c r="L54" s="51">
        <f t="shared" si="38"/>
        <v>0.60836767025691152</v>
      </c>
      <c r="M54" s="27">
        <f t="shared" si="39"/>
        <v>20.750227549256884</v>
      </c>
      <c r="N54" s="63">
        <f t="shared" si="40"/>
        <v>4.6047697696937314E-3</v>
      </c>
      <c r="O54" s="42">
        <f t="shared" si="41"/>
        <v>0.1978842758514022</v>
      </c>
      <c r="P54" s="65">
        <f t="shared" si="42"/>
        <v>6.124235452203993</v>
      </c>
      <c r="Q54" s="27">
        <f t="shared" si="43"/>
        <v>24.263432866666363</v>
      </c>
    </row>
    <row r="55" spans="2:19" x14ac:dyDescent="0.3">
      <c r="B55" s="22">
        <f t="shared" si="30"/>
        <v>3</v>
      </c>
      <c r="C55" s="26">
        <v>1</v>
      </c>
      <c r="D55" s="49">
        <f t="shared" si="31"/>
        <v>0.13634526774187822</v>
      </c>
      <c r="E55" s="24">
        <f t="shared" si="32"/>
        <v>0</v>
      </c>
      <c r="F55" s="49">
        <v>0.17170914268964088</v>
      </c>
      <c r="G55" s="24">
        <f t="shared" si="33"/>
        <v>0</v>
      </c>
      <c r="H55" s="51">
        <f>ROUNDUP(H54,1)</f>
        <v>1.8</v>
      </c>
      <c r="I55" s="27">
        <f t="shared" si="35"/>
        <v>18.669092771222527</v>
      </c>
      <c r="J55" s="51">
        <f>ROUNDUP(J54,1)</f>
        <v>0.6</v>
      </c>
      <c r="K55" s="27">
        <f t="shared" si="37"/>
        <v>14.695782917653309</v>
      </c>
      <c r="L55" s="51">
        <f>ROUNDUP(L54,1)</f>
        <v>0.7</v>
      </c>
      <c r="M55" s="27">
        <f t="shared" si="39"/>
        <v>21.450227549256883</v>
      </c>
      <c r="N55" s="64">
        <f>ROUNDDOWN(N54,3)</f>
        <v>4.0000000000000001E-3</v>
      </c>
      <c r="O55" s="43">
        <f>ROUNDDOWN(O54,3)</f>
        <v>0.19700000000000001</v>
      </c>
      <c r="P55" s="65">
        <f t="shared" si="42"/>
        <v>4.1461074011421033</v>
      </c>
      <c r="Q55" s="27">
        <f t="shared" si="43"/>
        <v>22.249421810822664</v>
      </c>
    </row>
    <row r="57" spans="2:19" x14ac:dyDescent="0.3">
      <c r="G57" s="44"/>
    </row>
  </sheetData>
  <mergeCells count="8">
    <mergeCell ref="B6:D6"/>
    <mergeCell ref="B42:E42"/>
    <mergeCell ref="H43:J43"/>
    <mergeCell ref="G27:I27"/>
    <mergeCell ref="M27:P27"/>
    <mergeCell ref="R27:S27"/>
    <mergeCell ref="B7:D7"/>
    <mergeCell ref="B26:E26"/>
  </mergeCells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Button2_Click">
                <anchor moveWithCells="1" sizeWithCells="1">
                  <from>
                    <xdr:col>8</xdr:col>
                    <xdr:colOff>388620</xdr:colOff>
                    <xdr:row>3</xdr:row>
                    <xdr:rowOff>0</xdr:rowOff>
                  </from>
                  <to>
                    <xdr:col>11</xdr:col>
                    <xdr:colOff>251460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E95"/>
  <sheetViews>
    <sheetView tabSelected="1" topLeftCell="R87" zoomScale="85" zoomScaleNormal="85" zoomScalePageLayoutView="85" workbookViewId="0">
      <selection activeCell="T97" sqref="T97"/>
    </sheetView>
  </sheetViews>
  <sheetFormatPr defaultColWidth="8.88671875" defaultRowHeight="14.4" x14ac:dyDescent="0.3"/>
  <sheetData>
    <row r="1" spans="1:31" s="4" customFormat="1" ht="92.1" customHeight="1" x14ac:dyDescent="0.2">
      <c r="A1" s="6"/>
      <c r="B1" s="6"/>
      <c r="C1" s="6"/>
      <c r="D1" s="6"/>
      <c r="E1" s="6"/>
      <c r="F1" s="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</row>
    <row r="3" spans="1:31" ht="15" customHeight="1" x14ac:dyDescent="0.3">
      <c r="M3" s="77" t="s">
        <v>16</v>
      </c>
      <c r="N3" s="77"/>
      <c r="O3" s="77"/>
      <c r="P3" s="77"/>
      <c r="Q3" s="77"/>
      <c r="R3" s="77"/>
      <c r="S3" s="77"/>
      <c r="T3" s="77"/>
    </row>
    <row r="4" spans="1:31" ht="15" customHeight="1" x14ac:dyDescent="0.3">
      <c r="M4" s="77"/>
      <c r="N4" s="77"/>
      <c r="O4" s="77"/>
      <c r="P4" s="77"/>
      <c r="Q4" s="77"/>
      <c r="R4" s="77"/>
      <c r="S4" s="77"/>
      <c r="T4" s="77"/>
    </row>
    <row r="5" spans="1:31" x14ac:dyDescent="0.3">
      <c r="M5" s="77"/>
      <c r="N5" s="77"/>
      <c r="O5" s="77"/>
      <c r="P5" s="77"/>
      <c r="Q5" s="77"/>
      <c r="R5" s="77"/>
      <c r="S5" s="77"/>
      <c r="T5" s="77"/>
    </row>
    <row r="92" spans="13:20" ht="14.4" customHeight="1" x14ac:dyDescent="0.3">
      <c r="M92" s="78" t="s">
        <v>17</v>
      </c>
      <c r="N92" s="78"/>
      <c r="O92" s="78"/>
      <c r="P92" s="78"/>
      <c r="Q92" s="78"/>
      <c r="R92" s="78"/>
      <c r="S92" s="78"/>
      <c r="T92" s="78"/>
    </row>
    <row r="93" spans="13:20" ht="15" customHeight="1" x14ac:dyDescent="0.3">
      <c r="M93" s="78"/>
      <c r="N93" s="78"/>
      <c r="O93" s="78"/>
      <c r="P93" s="78"/>
      <c r="Q93" s="78"/>
      <c r="R93" s="78"/>
      <c r="S93" s="78"/>
      <c r="T93" s="78"/>
    </row>
    <row r="94" spans="13:20" ht="27" customHeight="1" x14ac:dyDescent="0.3">
      <c r="M94" s="78"/>
      <c r="N94" s="78"/>
      <c r="O94" s="78"/>
      <c r="P94" s="78"/>
      <c r="Q94" s="78"/>
      <c r="R94" s="78"/>
      <c r="S94" s="78"/>
      <c r="T94" s="78"/>
    </row>
    <row r="95" spans="13:20" ht="15" customHeight="1" x14ac:dyDescent="0.35">
      <c r="M95" s="3"/>
      <c r="N95" s="3"/>
      <c r="O95" s="3"/>
      <c r="P95" s="3"/>
      <c r="Q95" s="3"/>
      <c r="R95" s="3"/>
      <c r="S95" s="3"/>
      <c r="T95" s="3"/>
    </row>
  </sheetData>
  <mergeCells count="2">
    <mergeCell ref="M3:T5"/>
    <mergeCell ref="M92:T94"/>
  </mergeCells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117"/>
  <sheetViews>
    <sheetView topLeftCell="A115" workbookViewId="0">
      <selection activeCell="T136" sqref="T136"/>
    </sheetView>
  </sheetViews>
  <sheetFormatPr defaultColWidth="8.88671875" defaultRowHeight="14.4" x14ac:dyDescent="0.3"/>
  <cols>
    <col min="5" max="5" width="8.88671875" customWidth="1"/>
    <col min="6" max="6" width="17" customWidth="1"/>
  </cols>
  <sheetData>
    <row r="1" spans="1:31" s="4" customFormat="1" ht="92.1" customHeight="1" x14ac:dyDescent="0.2">
      <c r="A1" s="6"/>
      <c r="B1" s="6"/>
      <c r="C1" s="6"/>
      <c r="D1" s="6"/>
      <c r="E1" s="6"/>
      <c r="F1" s="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8"/>
      <c r="AA1" s="8"/>
      <c r="AB1" s="8"/>
      <c r="AC1" s="8"/>
      <c r="AD1" s="8"/>
      <c r="AE1" s="8"/>
    </row>
    <row r="4" spans="1:31" x14ac:dyDescent="0.3">
      <c r="B4" s="5" t="s">
        <v>22</v>
      </c>
    </row>
    <row r="41" spans="2:2" x14ac:dyDescent="0.3">
      <c r="B41" s="5" t="s">
        <v>23</v>
      </c>
    </row>
    <row r="61" spans="2:2" x14ac:dyDescent="0.3">
      <c r="B61" s="5" t="s">
        <v>24</v>
      </c>
    </row>
    <row r="81" spans="2:2" x14ac:dyDescent="0.3">
      <c r="B81" s="5" t="s">
        <v>25</v>
      </c>
    </row>
    <row r="112" spans="7:13" ht="18" x14ac:dyDescent="0.35">
      <c r="G112" s="70" t="s">
        <v>73</v>
      </c>
      <c r="H112" s="70"/>
      <c r="I112" s="70"/>
      <c r="J112" s="70"/>
      <c r="K112" s="70"/>
      <c r="L112" s="70"/>
      <c r="M112" s="70"/>
    </row>
    <row r="116" spans="6:14" x14ac:dyDescent="0.3">
      <c r="F116" s="71" t="s">
        <v>71</v>
      </c>
      <c r="G116" s="69">
        <v>2</v>
      </c>
      <c r="H116" s="69">
        <v>4</v>
      </c>
      <c r="I116" s="69">
        <v>6</v>
      </c>
      <c r="J116" s="69">
        <v>10</v>
      </c>
      <c r="K116" s="69">
        <v>12</v>
      </c>
      <c r="L116" s="69">
        <v>16</v>
      </c>
      <c r="M116" s="69">
        <v>20</v>
      </c>
      <c r="N116" s="69">
        <v>24</v>
      </c>
    </row>
    <row r="117" spans="6:14" x14ac:dyDescent="0.3">
      <c r="F117" s="71" t="s">
        <v>72</v>
      </c>
      <c r="G117" s="69">
        <v>2.14</v>
      </c>
      <c r="H117" s="69">
        <v>4.29</v>
      </c>
      <c r="I117" s="69">
        <v>6.43</v>
      </c>
      <c r="J117" s="69">
        <v>10.72</v>
      </c>
      <c r="K117" s="69">
        <v>12.86</v>
      </c>
      <c r="L117" s="69">
        <v>17.149999999999999</v>
      </c>
      <c r="M117" s="69">
        <v>21.44</v>
      </c>
      <c r="N117" s="69">
        <v>25.73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graphs</vt:lpstr>
      <vt:lpstr>Other HCR Parameters</vt:lpstr>
    </vt:vector>
  </TitlesOfParts>
  <Company>University of Aberdeen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fac044</dc:creator>
  <cp:lastModifiedBy>Becca</cp:lastModifiedBy>
  <cp:lastPrinted>2012-08-15T07:31:14Z</cp:lastPrinted>
  <dcterms:created xsi:type="dcterms:W3CDTF">2012-07-07T13:20:20Z</dcterms:created>
  <dcterms:modified xsi:type="dcterms:W3CDTF">2019-01-08T11:43:48Z</dcterms:modified>
</cp:coreProperties>
</file>